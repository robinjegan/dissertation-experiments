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5kv4\git\dissertation-experiments\"/>
    </mc:Choice>
  </mc:AlternateContent>
  <xr:revisionPtr revIDLastSave="0" documentId="13_ncr:1_{0EB23132-C137-486F-935F-9D0FA527CA4A}" xr6:coauthVersionLast="47" xr6:coauthVersionMax="47" xr10:uidLastSave="{00000000-0000-0000-0000-000000000000}"/>
  <bookViews>
    <workbookView xWindow="-120" yWindow="-120" windowWidth="38640" windowHeight="21120" xr2:uid="{25DE5334-8C91-426F-A24A-6E4284BCB02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6" i="1" l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8" i="1"/>
  <c r="G68" i="1"/>
  <c r="I67" i="1"/>
  <c r="G67" i="1"/>
  <c r="I65" i="1"/>
  <c r="G65" i="1"/>
  <c r="I63" i="1"/>
  <c r="G63" i="1"/>
  <c r="I62" i="1"/>
  <c r="G62" i="1"/>
  <c r="I60" i="1"/>
  <c r="G60" i="1"/>
  <c r="I59" i="1"/>
  <c r="G59" i="1"/>
  <c r="I58" i="1"/>
  <c r="G58" i="1"/>
  <c r="I57" i="1"/>
  <c r="G57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3" i="1"/>
  <c r="I42" i="1"/>
  <c r="G42" i="1"/>
  <c r="I40" i="1"/>
  <c r="G40" i="1"/>
  <c r="I38" i="1"/>
  <c r="G38" i="1"/>
  <c r="I36" i="1"/>
  <c r="G36" i="1"/>
  <c r="I35" i="1"/>
  <c r="G35" i="1"/>
  <c r="I34" i="1"/>
  <c r="G34" i="1"/>
  <c r="I32" i="1"/>
  <c r="G32" i="1"/>
  <c r="I31" i="1"/>
  <c r="G31" i="1"/>
  <c r="I30" i="1"/>
  <c r="G30" i="1"/>
  <c r="I29" i="1"/>
  <c r="G29" i="1"/>
  <c r="I28" i="1"/>
  <c r="G28" i="1"/>
  <c r="I27" i="1"/>
  <c r="G27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5" i="1"/>
  <c r="G14" i="1"/>
  <c r="I13" i="1"/>
  <c r="I12" i="1"/>
  <c r="G12" i="1"/>
  <c r="I10" i="1"/>
  <c r="G10" i="1"/>
  <c r="I9" i="1"/>
  <c r="G9" i="1"/>
  <c r="I8" i="1"/>
  <c r="G8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<sst xmlns="http://schemas.openxmlformats.org/spreadsheetml/2006/main" count="1356" uniqueCount="306">
  <si>
    <t>Task</t>
  </si>
  <si>
    <t>Shortcut</t>
  </si>
  <si>
    <t>Model</t>
  </si>
  <si>
    <t>Date</t>
  </si>
  <si>
    <t>System</t>
  </si>
  <si>
    <t>Hardware</t>
  </si>
  <si>
    <t>Path to Code</t>
  </si>
  <si>
    <t>Dataset</t>
  </si>
  <si>
    <t>Path to Output</t>
  </si>
  <si>
    <t>Run-Time in Seconds</t>
  </si>
  <si>
    <t>Energy Total in kWh</t>
  </si>
  <si>
    <t>Energy CPU in kWh</t>
  </si>
  <si>
    <t>CPU Power in W</t>
  </si>
  <si>
    <t>Energy GPU in kWh</t>
  </si>
  <si>
    <t>GPU Power in W</t>
  </si>
  <si>
    <t>Energy RAM in kWh</t>
  </si>
  <si>
    <t>RAM Power in W</t>
  </si>
  <si>
    <t>Log</t>
  </si>
  <si>
    <t>CodeCarbon Full Log</t>
  </si>
  <si>
    <t>Natural Language Generation</t>
  </si>
  <si>
    <t>NLG/S1</t>
  </si>
  <si>
    <t>Markov</t>
  </si>
  <si>
    <t>S1</t>
  </si>
  <si>
    <t>CPU</t>
  </si>
  <si>
    <t>Custom-Wiki</t>
  </si>
  <si>
    <t>n/a</t>
  </si>
  <si>
    <t>Processing took: 4984.2015293429995
[codecarbon INFO @ 10:42:55] Energy consumed for RAM : 0.008028 kWh. RAM Power : 5.804434776306153 W
[codecarbon INFO @ 10:42:55] Energy consumed for all CPUs : 0.019378 kWh. All CPUs Power : 14.0 W
[codecarbon INFO @ 10:42:55] 0.027406 kWh of electricity used since the beginning.</t>
  </si>
  <si>
    <t>2025-09-15T10:42:55,generate-markov,ef9e8bed-74a4-4165-b29d-b28d0f68aadd,4983.960540294647,0.0082491336491373,0.0016551362279946,14.0,0.0,5.804434776306153,0.019377945995993,0.0,0.0080278136356926,0.0274057596316856,Germany,DEU,bavaria,,,Linux-5.15.133.1-microsoft-standard-WSL2-x86_64-with-debian-12.1,3.7.17,8,11th Gen Intel(R) Core(TM) i7-1185G7 @ 3.00GHz,,,10.8922,49.8917,15.478492736816406,machine,N</t>
  </si>
  <si>
    <t>Markov-OneWord</t>
  </si>
  <si>
    <t>Processing took: 2263.8543004580006
[codecarbon INFO @ 11:25:31] Energy consumed for RAM : 0.003645 kWh. RAM Power : 5.804434776306153 W
[codecarbon INFO @ 11:25:31] Energy consumed for all CPUs : 0.008801 kWh. All CPUs Power : 14.0 W
[codecarbon INFO @ 11:25:31] 0.012447 kWh of electricity used since the beginning.</t>
  </si>
  <si>
    <t>2025-09-15T11:25:31,generate-markov-oneword,f0ef5639-4826-41dc-9813-c74ad7f9c6b1,2263.7231843471527,0.003746465248284,0.0016550014923156,14.0,0.0,5.804434776306153,0.0088014550087187,0.0,0.0036452733908961,0.0124467283996148,Germany,DEU,bavaria,,,Linux-5.15.133.1-microsoft-standard-WSL2-x86_64-with-debian-12.1,3.7.17,8,11th Gen Intel(R) Core(TM) i7-1185G7 @ 3.00GHz,,,10.8922,49.8917,15.478492736816406,machine,N</t>
  </si>
  <si>
    <t>LSTM</t>
  </si>
  <si>
    <t>Processing took: 157303.75823426
[codecarbon INFO @ 10:57:50] Energy consumed for RAM : 0.436928 kWh. RAM Power : 10.0 W
[codecarbon INFO @ 10:57:50] Delta energy consumed for CPU with constant : 0.000016 kWh, power : 14.0 W
[codecarbon INFO @ 10:57:50] Energy consumed for All CPU : 0.611722 kWh
[codecarbon INFO @ 10:57:50] 1.048649 kWh of electricity used since the beginning.</t>
  </si>
  <si>
    <t>2025-09-22T10:57:50,generate-LSTM,fead0392-97d3-4a1b-afb4-7c1ceb1a5a67,5b0fa12a-3dd7-45bb-9766-cc326314d9f1,157303.781877873,0.39948302594098345,2.539564028099037e-06,14.0,0.0,10.0,0.6117218702813088,0.0,0.4369276268731292,1.0486494971544387,Germany,DEU,bavaria,,,Linux-6.6.87.2-microsoft-standard-WSL2-x86_64-with-glibc2.35,3.10.12,3.0.4,8,11th Gen Intel(R) Core(TM) i7-1185G7 @ 3.00GHz,,,10.8922,49.8917,15.47481918334961,machine,N,1.0</t>
  </si>
  <si>
    <t>GPT-2</t>
  </si>
  <si>
    <t>Processing took: 15827.89775105
[codecarbon INFO @ 16:14:42] Energy consumed for RAM : 0.025516 kWh. RAM Power : 5.804434776306153 W
[codecarbon INFO @ 16:14:42] Energy consumed for all CPUs : 0.061548 kWh. All CPUs Power : 14.0 W
[codecarbon INFO @ 16:14:42] 0.087064 kWh of electricity used since the beginning.</t>
  </si>
  <si>
    <t>2025-09-15T16:14:42,generate-GPT2,793eba7c-6dbb-4350-a6d0-ee55fc063cca,15827.054688930511,0.0262062985437405,0.0016557912421993,14.0,0.0,5.804434776306153,0.0615477961794534,0,0.0255163185838039,0.0870641147632576,Germany,DEU,bavaria,,,Linux-5.15.133.1-microsoft-standard-WSL2-x86_64-with-debian-12.1,3.7.17,8,11th Gen Intel(R) Core(TM) i7-1185G7 @ 3.00GHz,,,10.8922,49.8917,15.478492736816406,machine,N</t>
  </si>
  <si>
    <t>GPT-2-Finetuned</t>
  </si>
  <si>
    <t>Processing took: 17448.705827144
[codecarbon INFO @ 11:04:48] Energy consumed for RAM : 0.028130 kWh. RAM Power : 5.804434776306153 W
[codecarbon INFO @ 11:04:48] Energy consumed for all CPUs : 0.067851 kWh. All CPUs Power : 14.0 W
[codecarbon INFO @ 11:04:48] 0.095981 kWh of electricity used since the beginning.</t>
  </si>
  <si>
    <t>2025-09-17T11:04:48,generate-gpt2-finetuned,1b38189d-e2c4-499b-bf5d-1ab438d77b16,17447.871376991272,0.0288901608530322,0.0016557985916339,14.0,0.0,5.804434776306153,0.0678509475625885,0,0.02812965327805,0.0959806008406387,Germany,DEU,bavaria,,,Linux-5.15.133.1-microsoft-standard-WSL2-x86_64-with-debian-12.1,3.7.17,8,11th Gen Intel(R) Core(TM) i7-1185G7 @ 3.00GHz,,,10.8922,49.8917,15.478492736816406,machine,N</t>
  </si>
  <si>
    <t>NLG/S2</t>
  </si>
  <si>
    <t>S2</t>
  </si>
  <si>
    <t>Processing took: 4567.260902404
[codecarbon INFO @ 07:48:24] Energy consumed for RAM : 0.014856 kWh. RAM Power : 11.72168254852295 W
[codecarbon INFO @ 07:48:24] Energy consumed for all CPUs : 0.041224 kWh. All CPUs Power : 32.5 W
[codecarbon INFO @ 07:48:24] 0.056079 kWh of electricity used since the beginning.</t>
  </si>
  <si>
    <t>2025-09-23T07:48:24,generate-markov,24a953ee-42fe-4791-8e23-79498a4b678d,4567.0549511909485,0.0168798788172055,0.003696009572384,32.5,0.0,11.72168254852295,0.0412235191845231,0.0,0.0148558124340997,0.0560793316186229,Germany,DEU,bavaria,,,Linux-5.15.167.4-microsoft-standard-WSL2-x86_64-with-debian-12.1,3.7.17,8,Intel(R) Core(TM) i7-9700 CPU @ 3.00GHz,,,10.8334,49.9129,31.25782012939453,machine,N</t>
  </si>
  <si>
    <t>Processing took: 1977.0896353990001
[codecarbon INFO @ 08:24:53] Energy consumed for RAM : 0.006430 kWh. RAM Power : 11.72168254852295 W
[codecarbon INFO @ 08:24:53] Energy consumed for all CPUs : 0.017844 kWh. All CPUs Power : 32.5 W
[codecarbon INFO @ 08:24:53] 0.024274 kWh of electricity used since the beginning.</t>
  </si>
  <si>
    <t>2025-09-23T08:24:53,generate-markov-oneword,96182814-c778-4058-b9b5-1679311c2f7c,1976.967923879624,0.0073063741089156,0.0036957474224354,32.5,0.0,11.72168254852295,0.0178437556943959,0.0,0.0064299124415362,0.0242736681359322,Germany,DEU,bavaria,,,Linux-5.15.167.4-microsoft-standard-WSL2-x86_64-with-debian-12.1,3.7.17,8,Intel(R) Core(TM) i7-9700 CPU @ 3.00GHz,,,10.8334,49.9129,31.25782012939453,machine,N</t>
  </si>
  <si>
    <t>Processing took: 237867.69753862201
[codecarbon INFO @ 02:46:38] Energy consumed for RAM : 1.321407 kWh. RAM Power : 20.0 W
[codecarbon INFO @ 02:46:38] Delta energy consumed for CPU with constant : 0.000025 kWh, power : 32.5 W
[codecarbon INFO @ 02:46:38] Energy consumed for All CPU : 2.147359 kWh
[codecarbon INFO @ 02:46:38] 3.468766 kWh of electricity used since the beginning.</t>
  </si>
  <si>
    <t>2025-11-12T02:46:38,generate-LSTM,199a0602-01c5-45cd-9cdd-a92e32f2ccc4,5b0fa12a-3dd7-45bb-9766-cc326314d9f1,237867.72086576998,1.321426401169336,5.555299375466854e-06,32.5,0.0,20.0,2.147358745699449,0.0,1.3214072371574486,3.4687659828568997,0.0,Germany,DEU,bavaria,,,Linux-5.15.167.4-microsoft-standard-WSL2-x86_64-with-glibc2.35,3.10.12,3.0.8,8,Intel(R) Core(TM) i7-9700 CPU @ 3.00GHz,,,10.9678,49.8472,31.25782012939453,machine,N,1.0,0.0</t>
  </si>
  <si>
    <t>GPU</t>
  </si>
  <si>
    <t>Processing took: 16105.576718985
[codecarbon INFO @ 13:07:46] Energy consumed for RAM : 0.052435 kWh. RAM Power : 11.72168254852295 W
[codecarbon INFO @ 13:07:46] Energy consumed for all CPUs : 0.145389 kWh. All CPUs Power : 32.5 W
[codecarbon INFO @ 13:07:46] 0.197824 kWh of electricity used since the beginning.</t>
  </si>
  <si>
    <t>2025-09-23T13:07:46,generate-GPT2,f8fae6ac-f719-404a-b9f6-ffa149fc04f3,16104.860660791395,0.0595451492360761,0.0036973402310175,32.5,0.0,11.72168254852295,0.1453891131955719,0.0,0.0524353028711264,0.1978244160666983,Germany,DEU,bavaria,,,Linux-5.15.167.4-microsoft-standard-WSL2-x86_64-with-debian-12.1,3.7.17,8,Intel(R) Core(TM) i7-9700 CPU @ 3.00GHz,,,10.8334,49.9129,31.25782012939453,machine,N</t>
  </si>
  <si>
    <t>Processing took: 20598.329889625005
[codecarbon INFO @ 18:16:40] Energy consumed for RAM : 0.067062 kWh. RAM Power : 11.72168254852295 W
[codecarbon INFO @ 18:16:40] Energy consumed for all CPUs : 0.185946 kWh. All CPUs Power : 32.5 W
[codecarbon INFO @ 18:16:40] 0.253009 kWh of electricity used since the beginning.</t>
  </si>
  <si>
    <t>2025-11-13T18:16:40,generate-gpt2-finetuned,7c03f303-b267-4c4d-b788-f06eb908a55a,20597.471739768982,0.07615567169614516,0.0036973310442322913,32.5,0.0,11.72168254852295,0.1859464907964071,0.0,0.06706238527052039,0.25300887606692746,Germany,DEU,bavaria,,,Linux-5.15.167.4-microsoft-standard-WSL2-x86_64-with-debian-12.1,3.7.17,8,Intel(R) Core(TM) i7-9700 CPU @ 3.00GHz,,,10.9842,49.8155,31.25782012939453,machine,N</t>
  </si>
  <si>
    <t>NLG/S3</t>
  </si>
  <si>
    <t>S3</t>
  </si>
  <si>
    <t>Processing took: 3355.049687028997
[codecarbon INFO @ 15:56:40] Energy consumed for RAM : 0.010767 kWh. RAM Power : 11.589908123016357 W
[codecarbon INFO @ 15:56:40] Energy consumed for all CPUs : 0.039583 kWh. All CPUs Power : 42.5 W
[codecarbon INFO @ 15:56:40] 0.050350 kWh of electricity used since the beginning.</t>
  </si>
  <si>
    <t>2025-09-17T15:56:40,generate-markov,fcde8ced-692a-4a49-8155-36a9a6261b2e,3354.8906321525574,0.0151553737466432,0.0045173972592123,42.5,0.0,11.589908123016356,0.0395832343944245,0.0,0.0107668444980779,0.0503500788925025,Germany,DEU,bavaria,,,Linux-6.6.87.2-microsoft-standard-WSL2-x86_64-with-debian-12.1,3.7.17,16,AMD Ryzen 7 7700 8-Core Processor,,,10.8922,49.8917,30.906421661376957,machine,N</t>
  </si>
  <si>
    <t>Processing took: 1471.7992790299977
[codecarbon INFO @ 16:33:37] Energy consumed for RAM : 0.004726 kWh. RAM Power : 11.589908123016357 W
[codecarbon INFO @ 16:33:37] Energy consumed for all CPUs : 0.017362 kWh. All CPUs Power : 42.5 W
[codecarbon INFO @ 16:33:37] 0.022087 kWh of electricity used since the beginning.</t>
  </si>
  <si>
    <t>2025-09-17T16:33:37,generate-markov-oneword,a904f9ce-f495-487d-a0ac-2ab95915e758,1471.7533919811249,0.006648294678873237,0.004517261325910027,42.5,0.0,11.589908123016357,0.017361840371787556,0.0,0.004725517365332838,0.02208735773712039,Germany,DEU,bavaria,,,Linux-6.6.87.2-microsoft-standard-WSL2-x86_64-with-debian-12.1,3.7.17,16,AMD Ryzen 7 7700 8-Core Processor,,,10.8922,49.8917,30.906421661376953,machine,N</t>
  </si>
  <si>
    <t>Processing took: 85003.844494348
[codecarbon INFO @ 21:18:10] Energy consumed for RAM : 0.472221 kWh. RAM Power : 20.0 W
[codecarbon INFO @ 21:18:10] Delta energy consumed for CPU with constant : 0.000099 kWh, power : 32.5 W
[codecarbon INFO @ 21:18:10] Energy consumed for All CPU : 0.767381 kWh
[codecarbon INFO @ 21:18:10] 1.239602 kWh of electricity used since the beginning.</t>
  </si>
  <si>
    <t>2025-09-21T21:18:10,generate-LSTM,ada201ce-9066-41a3-b581-bbba233a1b9b,5b0fa12a-3dd7-45bb-9766-cc326314d9f1,85003.85627300301,0.472226465998342,5.555353447515532e-06,32.5,0.0,20.0,0.7673812768170075,0.0,0.47222094394251335,1.2396022207595274,Germany,DEU,bavaria,,,Linux-6.6.87.2-microsoft-standard-WSL2-x86_64-with-glibc2.35,3.10.12,3.0.5,16,AMD Ryzen 7 7700 8-Core Processor,,,10.8922,49.8917,30.90642547607422,machine,N,1.0</t>
  </si>
  <si>
    <t>Processing took: 85590.61884953
[codecarbon INFO @ 07:45:20] Energy consumed for RAM : 0.475417 kWh. RAM Power : 20.0 W
[codecarbon INFO @ 07:45:20] Delta energy consumed for CPU with constant : 0.000113 kWh, power : 32.5 W
[codecarbon INFO @ 07:45:20] Energy consumed for All CPU : 0.772574 kWh
[codecarbon INFO @ 07:45:20] Energy consumed for all GPUs : 0.201470 kWh. Total GPU Power : 7.721342241364692 W
[codecarbon INFO @ 07:45:20] 1.449460 kWh of electricity used since the beginning.</t>
  </si>
  <si>
    <t>2025-09-20T07:45:20,generate-LSTM,bae776f5-e94b-401f-95e0-a88c8207714c,5b0fa12a-3dd7-45bb-9766-cc326314d9f1,85590.63453301499,0.5521717977279919,6.451310949389e-06,32.5,7.721342241364692,20.0,0.7725738204524855,0.20146970173118806,0.4754165059774801,1.4494600281611545,Germany,DEU,bavaria,,,Linux-6.6.87.2-microsoft-standard-WSL2-x86_64-with-glibc2.35,3.10.12,3.0.4,16,AMD Ryzen 7 7700 8-Core Processor,1,1 x NVIDIA GeForce RTX 5070 Ti,10.8922,49.8917,30.90642547607422,machine,N,1.0</t>
  </si>
  <si>
    <t>Processing took: 16068.095407825997
[codecarbon INFO @ 21:31:27] Energy consumed for RAM : 0.051724 kWh. RAM Power : 11.589908123016357 W
[codecarbon INFO @ 21:31:27] Energy consumed for all CPUs : 0.189678 kWh. All CPUs Power : 42.5 W
[codecarbon INFO @ 21:31:27] 0.241402 kWh of electricity used since the beginning.</t>
  </si>
  <si>
    <t>2025-09-17T21:31:27,generate-GPT2,1fe7f9f2-4a13-4394-81e0-7c85979ce716,16067.0174202919,0.0726619078311657,0.0045224266539598,42.5,0.0,11.589908123016356,0.1896776768672795,0.0,0.0517240102794504,0.2414016871467301,Germany,DEU,bavaria,,,Linux-6.6.87.2-microsoft-standard-WSL2-x86_64-with-debian-12.1,3.7.17,16,AMD Ryzen 7 7700 8-Core Processor,,,10.8922,49.8917,30.906421661376957,machine,N</t>
  </si>
  <si>
    <t>Processing took: 3627.257811358999
[codecarbon INFO @ 06:14:45] Energy consumed for RAM : 0.020150 kWh. RAM Power : 20.0 W
[codecarbon INFO @ 06:14:45] Delta energy consumed for CPU with constant : 0.000110 kWh, power : 32.5 W
[codecarbon INFO @ 06:14:45] Energy consumed for All CPU : 0.032744 kWh
[codecarbon INFO @ 06:14:45] Energy consumed for all GPUs : 0.069928 kWh. Total GPU Power : 68.78357465754392 W
[codecarbon INFO @ 06:14:45] 0.122822 kWh of electricity used since the beginning.</t>
  </si>
  <si>
    <t>2025-09-19T06:14:45,generate-GPT2,026ddbc2-731e-403a-a0ed-e74d904890bf,5b0fa12a-3dd7-45bb-9766-cc326314d9f1,3627.271644186003,0.046789023235619405,1.2899233315104896e-05,32.5,68.78357465754392,20.0,0.032744072034429604,0.069928123164676,0.020149758431605404,0.12282195363071112,Germany,DEU,bavaria,,,Linux-6.6.87.2-microsoft-standard-WSL2-x86_64-with-glibc2.35,3.10.12,3.0.4,16,AMD Ryzen 7 7700 8-Core Processor,1,1 x NVIDIA GeForce RTX 5070 Ti,10.8922,49.8917,30.90642547607422,machine,N,1.0</t>
  </si>
  <si>
    <t>Processing took: 15579.433374096989
[codecarbon INFO @ 12:39:40] Energy consumed for RAM : 0.050151 kWh. RAM Power : 11.589909553527832 W
[codecarbon INFO @ 12:39:40] Energy consumed for all CPUs : 0.183909 kWh. All CPUs Power : 42.5 W
[codecarbon INFO @ 12:39:40] 0.234060 kWh of electricity used since the beginning.</t>
  </si>
  <si>
    <t>2025-09-20T12:39:40,generate-gpt2-finetuned,f996a0c9-af02-44fe-9a30-9b7002033685,15578.383415699005,0.07045216946354825,0.0045224313449976185,42.5,0.0,11.589909553527832,0.18390931428720533,0.0,0.05015104937906793,0.23406036366627328,Germany,DEU,bavaria,,,Linux-6.6.87.2-microsoft-standard-WSL2-x86_64-with-debian-12.1,3.7.17,16,AMD Ryzen 7 7700 8-Core Processor,,,10.8922,49.8917,30.90642547607422,machine,N</t>
  </si>
  <si>
    <t>Processing took: 5349.300780212
[codecarbon INFO @ 22:04:54] Energy consumed for RAM : 0.029640 kWh. RAM Power : 20.0 W
[codecarbon INFO @ 22:04:54] Delta energy consumed for CPU with constant : 0.000037 kWh, power : 32.5 W
[codecarbon INFO @ 22:04:54] Energy consumed for All CPU : 0.048205 kWh
[codecarbon INFO @ 22:04:54] Energy consumed for all GPUs : 0.069125 kWh. Total GPU Power : 60.91980749641981 W
[codecarbon INFO @ 22:04:54] 0.146971 kWh of electricity used since the beginning.</t>
  </si>
  <si>
    <t>2025-09-18T22:04:54,generate-gpt2-finetuned,b3a9d4dd-0a71-4fd9-861b-eef1fa23c07b,5b0fa12a-3dd7-45bb-9766-cc326314d9f1,5349.315052317999,0.055988576749059285,1.0466494532752928e-05,32.5,60.91980749641981,20.0,0.04820544439788818,0.06912524085570398,0.029640247281016715,0.14697093253460897,Germany,DEU,bavaria,,,Linux-6.6.87.2-microsoft-standard-WSL2-x86_64-with-glibc2.35,3.10.12,3.0.4,16,AMD Ryzen 7 7700 8-Core Processor,1,1 x NVIDIA GeForce RTX 5070 Ti,10.8922,49.8917,30.90642547607422,machine,N,1.0</t>
  </si>
  <si>
    <t>Text Summarization: German Domain Corpora</t>
  </si>
  <si>
    <t>TS1/S1</t>
  </si>
  <si>
    <t>LexRank</t>
  </si>
  <si>
    <t>legalsum</t>
  </si>
  <si>
    <t>Processing took: 564.1377087740002
[codecarbon INFO @ 07:27:59] Energy consumed for RAM : 0.001566 kWh. RAM Power : 10.0 W
[codecarbon INFO @ 07:27:59] Energy consumed for All CPU : 0.002193 kWh
[codecarbon INFO @ 07:27:59] 0.003759 kWh of electricity used since the beginning.</t>
  </si>
  <si>
    <t>2025-09-25T07:27:59,,3dcd29a5-c2a1-472a-abf9-1d0c35c2b066,5b0fa12a-3dd7-45bb-9766-cc326314d9f1,564.1395746559997,0.001431981693312235,2.538346461840453e-06,14.0,0.0,10.0,0.0021931687897855496,0.0,0.001565806648755559,0.003758975438541108,Germany,DEU,bavaria,,,Linux-6.6.87.2-microsoft-standard-WSL2-x86_64-with-glibc2.41,3.9.23,3.0.5,8,11th Gen Intel(R) Core(TM) i7-1185G7 @ 3.00GHz,,,10.8334,49.9129,15.47481918334961,machine,N,1.0</t>
  </si>
  <si>
    <t>TextRank</t>
  </si>
  <si>
    <t>Processing took: 484.0455937980005
[codecarbon INFO @ 07:50:09] Energy consumed for RAM : 0.001343 kWh. RAM Power : 10.0 W
[codecarbon INFO @ 07:50:09] Energy consumed for All CPU : 0.001882 kWh
[codecarbon INFO @ 07:50:09] 0.003225 kWh of electricity used since the beginning.</t>
  </si>
  <si>
    <t>2025-09-25T07:50:09,,5cc9c146-a196-4d5e-91c8-8c28e78fa496,5b0fa12a-3dd7-45bb-9766-cc326314d9f1,484.04845355399993,0.001228726336637577,2.53843665363658e-06,14.0,0.0,10.0,0.0018819457646383248,0.0,0.0013434810279527687,0.0032254267925910934,Germany,DEU,bavaria,,,Linux-6.6.87.2-microsoft-standard-WSL2-x86_64-with-glibc2.41,3.9.23,3.0.5,8,11th Gen Intel(R) Core(TM) i7-1185G7 @ 3.00GHz,,,10.8334,49.9129,15.47481918334961,machine,N,1.0</t>
  </si>
  <si>
    <t>T5</t>
  </si>
  <si>
    <t>Processing took: 7079.722089615
[codecarbon INFO @ 15:48:59] Energy consumed for RAM : 0.0196659951081694 kWh. RAM Power : 10.0 W
[codecarbon INFO @ 15:48:59] Energy consumed for All CPU : 0.0275330686484894 kWh
[codecarbon INFO @ 15:48:59] 0.0471990637566588 kWh of electricity used since the beginning.</t>
  </si>
  <si>
    <t>2025-09-24T10:59:20,,c8bfa83c-b7e6-43ce-b3ba-9145278a4dfe,5b0fa12a-3dd7-45bb-9766-cc326314d9f1,7079.959161487,0.0179804833380991,2.5396309396681264e-06,14.0,0.0,10.0,0.0275330686484894,0.0,0.0196659951081694,0.0471990637566588,Germany,DEU,bavaria,,,Linux-6.6.87.2-microsoft-standard-WSL2-x86_64-with-glibc2.41,3.9.23,3.0.5,8,11th Gen Intel(R) Core(TM) i7-1185G7 @ 3.00GHz,,,10.8922,49.8917,15.47481918334961,machine,N,1.0</t>
  </si>
  <si>
    <t>Pegasus</t>
  </si>
  <si>
    <t>Processing took: 14929.561005467
[codecarbon INFO @ 15:48:59] Energy consumed for RAM : 0.041465 kWh. RAM Power : 10.0 W
[codecarbon INFO @ 15:48:59] Energy consumed for All CPU : 0.058057 kWh
[codecarbon INFO @ 15:48:59] 0.099522 kWh of electricity used since the beginning.</t>
  </si>
  <si>
    <t>2025-09-24T15:48:59,,10a36a6b-4896-4bf4-a998-1f77c66a9e84,5b0fa12a-3dd7-45bb-9766-cc326314d9f1,14929.718334619001,0.03791278479845155,2.5394172849557024e-06,14.0,0.0,10.0,0.058056785667109465,0.0,0.041464896439338934,0.09952168210644849,Germany,DEU,bavaria,,,Linux-6.6.87.2-microsoft-standard-WSL2-x86_64-with-glibc2.41,3.9.23,3.0.5,8,11th Gen Intel(R) Core(TM) i7-1185G7 @ 3.00GHz,,,10.8922,49.8917,15.47481918334961,machine,N,1.0</t>
  </si>
  <si>
    <t>MT5</t>
  </si>
  <si>
    <t>Processing took: 7131.124457517002
[codecarbon INFO @ 18:00:34] Energy consumed for RAM : 0.019803 kWh. RAM Power : 10.0 W
[codecarbon INFO @ 18:00:34] Energy consumed for All CPU : 0.027730 kWh
[codecarbon INFO @ 18:00:34] 0.047533 kWh of electricity used since the beginning.</t>
  </si>
  <si>
    <t>2025-09-24T18:00:34,,cd412bf1-f3a6-49fa-a22d-69a402f318e2,5b0fa12a-3dd7-45bb-9766-cc326314d9f1,7131.273827424004,0.01810780774207699,2.539210831091868e-06,14.0,0.0,10.0,0.027729926662973973,0.0,0.019803365743055596,0.04753329240602963,Germany,DEU,bavaria,,,Linux-6.6.87.2-microsoft-standard-WSL2-x86_64-with-glibc2.41,3.9.23,3.0.5,8,11th Gen Intel(R) Core(TM) i7-1185G7 @ 3.00GHz,,,10.8922,49.8917,15.47481918334961,machine,N,1.0</t>
  </si>
  <si>
    <t>Bert2Bert</t>
  </si>
  <si>
    <t>Processing took: 6648.176506345
[codecarbon INFO @ 20:00:27] Energy consumed for RAM : 0.018467 kWh. RAM Power : 10.0 W
[codecarbon INFO @ 20:00:27] Energy consumed for All CPU : 0.025854 kWh
[codecarbon INFO @ 20:00:27] 0.044321 kWh of electricity used since the beginning.</t>
  </si>
  <si>
    <t>2025-09-24T20:00:27,,569f2ecf-b1bd-4eb2-abd1-9ad305c3a397,5b0fa12a-3dd7-45bb-9766-cc326314d9f1,6648.336794929004,0.016883983450805495,2.539580044092185e-06,14.0,0.0,10.0,0.025854121053471502,0.0,0.01846661250947768,0.04432073356294919,Germany,DEU,bavaria,,,Linux-6.6.87.2-microsoft-standard-WSL2-x86_64-with-glibc2.41,3.9.23,3.0.5,8,11th Gen Intel(R) Core(TM) i7-1185G7 @ 3.00GHz,,,10.8922,49.8917,15.47481918334961,machine,N,1.0</t>
  </si>
  <si>
    <t>TS1/S2</t>
  </si>
  <si>
    <t>Processing took: 326.54838716499944
[codecarbon INFO @ 11:02:44] Energy consumed for RAM : 0.001813 kWh. RAM Power : 20.0 W
[codecarbon INFO @ 11:02:44] Delta energy consumed for CPU with constant : 0.000103 kWh, power : 32.5 W
[codecarbon INFO @ 11:02:44] Energy consumed for All CPU : 0.002947 kWh
[codecarbon INFO @ 11:02:44] 0.004760 kWh of electricity used since the beginning.</t>
  </si>
  <si>
    <t>2025-11-07T11:02:44,,56da91ac-6705-4a58-9b49-fd6c27cfda84,5b0fa12a-3dd7-45bb-9766-cc326314d9f1,326.55084708399954,0.0018132407428802665,5.552705678371251e-06,32.5,0.0,20.0,0.002947038068722123,0.0,0.001812748630005444,0.0047597866987275665,0.0,Germany,DEU,bavaria,,,Linux-5.15.167.4-microsoft-standard-WSL2-x86_64-with-glibc2.41,3.9.25,3.0.8,8,Intel(R) Core(TM) i7-9700 CPU @ 3.00GHz,,,10.9678,49.8472,31.257816314697266,machine,N,1.0,0.0</t>
  </si>
  <si>
    <t>Processing took: 331.0212515759995
[codecarbon INFO @ 11:09:28] Energy consumed for RAM : 0.001838 kWh. RAM Power : 20.0 W
[codecarbon INFO @ 11:09:28] Delta energy consumed for CPU with constant : 0.000008 kWh, power : 32.5 W
[codecarbon INFO @ 11:09:28] Energy consumed for All CPU : 0.002988 kWh
[codecarbon INFO @ 11:09:28] 0.004826 kWh of electricity used since the beginning.</t>
  </si>
  <si>
    <t>2025-11-07T11:09:28,,cef9ee6a-59e0-4d71-865d-36bc9bdbdb7a,5b0fa12a-3dd7-45bb-9766-cc326314d9f1,331.02302736099955,0.0018385546201405796,5.554159282506744e-06,32.5,0.0,20.0,0.002987953462938726,0.0,0.0018382825789055562,0.004826236041844283,0.0,Germany,DEU,bavaria,,,Linux-5.15.167.4-microsoft-standard-WSL2-x86_64-with-glibc2.41,3.9.25,3.0.8,8,Intel(R) Core(TM) i7-9700 CPU @ 3.00GHz,,,10.9678,49.8472,31.257816314697266,machine,N,1.0,0.0</t>
  </si>
  <si>
    <t>Processing took: 5982.816416563999
[codecarbon INFO @ 21:04:31] Energy consumed for RAM : 0.033237 kWh. RAM Power : 20.0 W
[codecarbon INFO @ 21:04:31] Delta energy consumed for CPU with constant : 0.000080 kWh, power : 32.5 W
[codecarbon INFO @ 21:04:31] Energy consumed for All CPU : 0.054012 kWh
[codecarbon INFO @ 21:04:31] 0.087249 kWh of electricity used since the beginning.</t>
  </si>
  <si>
    <t>2025-11-06T21:04:31,,b01c1275-f553-460d-9178-e1e93892deb9,5b0fa12a-3dd7-45bb-9766-cc326314d9f1,5982.959179977,0.03323761163080163,5.555379976857775e-06,32.5,0.0,20.0,0.05401199867986185,0.0,0.0332372771589666,0.08724927583882827,0.0,Germany,DEU,bavaria,,,Linux-5.15.167.4-microsoft-standard-WSL2-x86_64-with-glibc2.41,3.9.25,3.0.8,8,Intel(R) Core(TM) i7-9700 CPU @ 3.00GHz,,,10.9678,49.8472,31.257816314697266,machine,N,1.0,0.0</t>
  </si>
  <si>
    <t>Processing took: 10913.523000451
[codecarbon INFO @ 01:08:13] Energy consumed for RAM : 0.060622 kWh. RAM Power : 20.0 W
[codecarbon INFO @ 01:08:13] Delta energy consumed for CPU with constant : 0.000010 kWh, power : 32.5 W
[codecarbon INFO @ 01:08:13] Energy consumed for All CPU : 0.098521 kWh
[codecarbon INFO @ 01:08:13] 0.159143 kWh of electricity used since the beginning.</t>
  </si>
  <si>
    <t>2025-11-07T01:08:13,,39e93ed1-9c58-419a-809f-9e59d8223a23,5b0fa12a-3dd7-45bb-9766-cc326314d9f1,10913.667079194,0.06062569930827127,5.555025535262032e-06,32.5,0.0,20.0,0.09852132016934119,0.0,0.060622135161466785,0.1591434553308079,0.0,Germany,DEU,bavaria,,,Linux-5.15.167.4-microsoft-standard-WSL2-x86_64-with-glibc2.41,3.9.25,3.0.8,8,Intel(R) Core(TM) i7-9700 CPU @ 3.00GHz,,,10.9678,49.8472,31.257816314697266,machine,N,1.0,0.0</t>
  </si>
  <si>
    <t>Processing took: 5920.454186010997
[codecarbon INFO @ 09:09:16] Energy consumed for RAM : 0.032869 kWh. RAM Power : 20.0 W
[codecarbon INFO @ 09:09:16] Delta energy consumed for CPU with constant : 0.000133 kWh, power : 32.5 W
[codecarbon INFO @ 09:09:16] Energy consumed for All CPU : 0.053440 kWh
[codecarbon INFO @ 09:09:16] 0.086309 kWh of electricity used since the beginning.</t>
  </si>
  <si>
    <t>2025-11-07T09:09:16,,3dea0f57-7df4-4edf-9f05-f5013565375d,5b0fa12a-3dd7-45bb-9766-cc326314d9f1,5920.597995085998,0.032879360771949875,5.553385114010311e-06,32.5,0.0,20.0,0.05344007729821966,0.0,0.03286878415853292,0.08630886145675253,0.0,Germany,DEU,bavaria,,,Linux-5.15.167.4-microsoft-standard-WSL2-x86_64-with-glibc2.41,3.9.25,3.0.8,8,Intel(R) Core(TM) i7-9700 CPU @ 3.00GHz,,,10.9678,49.8472,31.257816314697266,machine,N,1.0,0.0</t>
  </si>
  <si>
    <t>Processing took: 5849.624495705997
[codecarbon INFO @ 10:48:46] Energy consumed for RAM : 0.032497 kWh. RAM Power : 20.0 W
[codecarbon INFO @ 10:48:46] Delta energy consumed for CPU with constant : 0.000112 kWh, power : 32.5 W
[codecarbon INFO @ 10:48:46] Energy consumed for All CPU : 0.052809 kWh
[codecarbon INFO @ 10:48:46] 0.085307 kWh of electricity used since the beginning.</t>
  </si>
  <si>
    <t>2025-11-07T10:48:46,,5f0d9d56-8900-4451-8848-6843bca83b73,5b0fa12a-3dd7-45bb-9766-cc326314d9f1,5849.772036770002,0.03249762675260248,5.555366354164171e-06,32.5,0.0,20.0,0.052809480216846755,0.0,0.03249732317625592,0.08530680339310272,0.0,Germany,DEU,bavaria,,,Linux-5.15.167.4-microsoft-standard-WSL2-x86_64-with-glibc2.41,3.9.25,3.0.8,8,Intel(R) Core(TM) i7-9700 CPU @ 3.00GHz,,,10.9678,49.8472,31.257816314697266,machine,N,1.0,0.0</t>
  </si>
  <si>
    <t>TS1/S3</t>
  </si>
  <si>
    <t>Processing took: 283.3038371120001
[codecarbon INFO @ 15:25:25] Energy consumed for RAM : 0.001570 kWh. RAM Power : 20.0 W
[codecarbon INFO @ 15:25:25] Delta energy consumed for CPU with constant : 0.000118 kWh, power : 32.5 W
[codecarbon INFO @ 15:25:25] Energy consumed for All CPU : 0.002555 kWh
[codecarbon INFO @ 15:25:25] Energy consumed for all GPUs : 0.000611 kWh. Total GPU Power : 7.772351636695028 W
[codecarbon INFO @ 15:25:25] 0.004736 kWh of electricity used since the beginning.</t>
  </si>
  <si>
    <t>2025-10-29T15:25:25,,3bb82a51-ba05-4d85-8264-5c0d70f71f7a,5b0fa12a-3dd7-45bb-9766-cc326314d9f1,283.30682084599994,0.0018041926238873856,6.3683345798021206e-06,32.5,7.772351636695028,20.0,0.0025545618703041763,0.000611171877826,0.0015703014897944483,0.004736035237924624,Germany,DEU,bavaria,,,Linux-6.6.87.2-microsoft-standard-WSL2-x86_64-with-glibc2.41,3.9.23,3.0.5,16,AMD Ryzen 7 7700 8-Core Processor,1.0,1 x NVIDIA GeForce RTX 5070 Ti,10.9678,49.8472,30.906421661376953,machine,N,1.0</t>
  </si>
  <si>
    <t>Processing took: 242.36041512300017
[codecarbon INFO @ 15:20:16] Energy consumed for RAM : 0.001343 kWh. RAM Power : 20.0 W
[codecarbon INFO @ 15:20:16] Delta energy consumed for CPU with constant : 0.000020 kWh, power : 32.5 W
[codecarbon INFO @ 15:20:16] Energy consumed for All CPU : 0.002185 kWh
[codecarbon INFO @ 15:20:16] Energy consumed for all GPUs : 0.000558 kWh. Total GPU Power : 8.256320336269148 W
[codecarbon INFO @ 15:20:16] 0.004085 kWh of electricity used since the beginning.</t>
  </si>
  <si>
    <t>2025-10-29T15:20:16,,6b9e8059-818f-4938-84d1-baf30aac6320,5b0fa12a-3dd7-45bb-9766-cc326314d9f1,242.36508627700005,0.0015562545218292642,6.421116777730166e-06,32.5,8.256320336269148,20.0,0.00218452685476459,0.0005577612795419976,0.0013429055179555588,0.004085193652262145,Germany,DEU,bavaria,,,Linux-6.6.87.2-microsoft-standard-WSL2-x86_64-with-glibc2.41,3.9.23,3.0.5,16,AMD Ryzen 7 7700 8-Core Processor,1.0,1 x NVIDIA GeForce RTX 5070 Ti,10.9678,49.8472,30.906421661376953,machine,N,1.0</t>
  </si>
  <si>
    <t>Processing took: 4284.718199035
[codecarbon INFO @ 13:20:53] Energy consumed for RAM : 0.023803 kWh. RAM Power : 20.0 W
[codecarbon INFO @ 13:20:53] Delta energy consumed for CPU with constant : 0.000087 kWh, power : 32.5 W
[codecarbon INFO @ 13:20:53] Energy consumed for All CPU : 0.038682 kWh
[codecarbon INFO @ 13:20:53] 0.062485 kWh of electricity used since the beginning.</t>
  </si>
  <si>
    <t>2025-11-07T13:20:53,,9c4e362d-38a7-403d-8705-134ab5fb5239,5b0fa12a-3dd7-45bb-9766-cc326314d9f1,4284.834486311003,0.02380367495926107,5.555331258490376e-06,32.5,0.0,20.0,0.03868173547102201,0.0,0.023803301828521382,0.06248503729954343,Germany,DEU,bavaria,,,Linux-6.6.87.2-microsoft-standard-WSL2-x86_64-with-glibc2.41,3.9.23,3.0.5,16,AMD Ryzen 7 7700 8-Core Processor,,,10.9678,49.8472,30.90642547607422,machine,N,1.0</t>
  </si>
  <si>
    <t>Processing took: 2386.3087828129997
[codecarbon INFO @ 15:13:02] Energy consumed for RAM : 0.013256 kWh. RAM Power : 20.0 W
[codecarbon INFO @ 15:13:02] Delta energy consumed for CPU with constant : 0.000012 kWh, power : 32.5 W
[codecarbon INFO @ 15:13:02] Energy consumed for All CPU : 0.021543 kWh
[codecarbon INFO @ 15:13:02] Energy consumed for all GPUs : 0.031408 kWh. Total GPU Power : 61.82271649589511 W
[codecarbon INFO @ 15:13:02] 0.066207 kWh of electricity used since the beginning.</t>
  </si>
  <si>
    <t>2025-10-29T15:13:02,,27408ada-bbb0-46d1-9a66-3f5f1f42fc7d,5b0fa12a-3dd7-45bb-9766-cc326314d9f1,2386.44322647,0.0252216807916277,1.0568732795263435e-05,32.5,61.82271649589511,20.0,0.0215425749118666,0.0314084954045539,0.0132562555573888,0.0662073258738096,Germany,DEU,bavaria,,,Linux-6.6.87.2-microsoft-standard-WSL2-x86_64-with-glibc2.41,3.9.23,3.0.5,16,AMD Ryzen 7 7700 8-Core Processor,1.0,1 x NVIDIA GeForce RTX 5070 Ti,10.9678,49.8472,30.906421661376957,machine,N,1.0</t>
  </si>
  <si>
    <t>Processing took: 8900.768803520004
[codecarbon INFO @ 11:00:10] Energy consumed for RAM : 0.049438 kWh. RAM Power : 20.0 W
[codecarbon INFO @ 11:00:10] Delta energy consumed for CPU with constant : 0.000044 kWh, power : 32.5 W
[codecarbon INFO @ 11:00:10] Energy consumed for All CPU : 0.080347 kWh
[codecarbon INFO @ 11:00:10] 0.129785 kWh of electricity used since the beginning.</t>
  </si>
  <si>
    <t>2025-11-07T11:00:10,,a400e201-4667-48bc-bdcb-37585ad10f0c,5b0fa12a-3dd7-45bb-9766-cc326314d9f1,8900.889920843998,0.04944144177909336,5.5546627605529625e-06,32.5,0.0,20.0,0.08034701326713843,0.0,0.049437582556705766,0.12978459582384397,Germany,DEU,bavaria,,,Linux-6.6.87.2-microsoft-standard-WSL2-x86_64-with-glibc2.41,3.9.23,3.0.5,16,AMD Ryzen 7 7700 8-Core Processor,,,10.9678,49.8472,30.90642547607422,machine,N,1.0</t>
  </si>
  <si>
    <t>Processing took: 3652.685546978
[codecarbon INFO @ 19:38:00] Energy consumed for RAM : 0.020276 kWh. RAM Power : 20.0 W
[codecarbon INFO @ 19:38:00] Delta energy consumed for CPU with constant : 0.000053 kWh, power : 32.5 W
[codecarbon INFO @ 19:38:00] Energy consumed for All CPU : 0.032960 kWh
[codecarbon INFO @ 19:38:00] Energy consumed for all GPUs : 0.052676 kWh. Total GPU Power : 56.857745668064325 W
[codecarbon INFO @ 19:38:00] 0.105913 kWh of electricity used since the beginning.</t>
  </si>
  <si>
    <t>2025-11-06T19:38:00,,af58b7f8-2447-4e6f-9f48-a0c21cf0e0c9,5b0fa12a-3dd7-45bb-9766-cc326314d9f1,3652.811223813,0.04034740130447529,1.104557526582458e-05,32.5,56.857745668064325,20.0,0.032960172743865986,0.05267622880761599,0.020276188826455564,0.10591259037793749,Germany,DEU,bavaria,,,Linux-6.6.87.2-microsoft-standard-WSL2-x86_64-with-glibc2.41,3.9.23,3.0.5,16,AMD Ryzen 7 7700 8-Core Processor,1.0,1 x NVIDIA GeForce RTX 5070 Ti,10.9678,49.8472,30.90642547607422,machine,N,1.0</t>
  </si>
  <si>
    <t>Processing took: 5648.955187194995
[codecarbon INFO @ 15:53:32] Energy consumed for RAM : 0.031361 kWh. RAM Power : 20.0 W
[codecarbon INFO @ 15:53:32] Delta energy consumed for CPU with constant : 0.000051 kWh, power : 32.5 W
[codecarbon INFO @ 15:53:32] Energy consumed for All CPU : 0.050992 kWh
[codecarbon INFO @ 15:53:32] 0.082353 kWh of electricity used since the beginning.</t>
  </si>
  <si>
    <t>2025-11-07T15:53:32,,fbba9711-1ed3-47bc-a535-dcbe54c09047,5b0fa12a-3dd7-45bb-9766-cc326314d9f1,5649.084270135005,0.031372253253359336,5.5535112866371855e-06,32.5,0.0,20.0,0.05099209369155415,0.0,0.03136058580276091,0.08235267949431509,Germany,DEU,bavaria,,,Linux-6.6.87.2-microsoft-standard-WSL2-x86_64-with-glibc2.41,3.9.23,3.0.5,16,AMD Ryzen 7 7700 8-Core Processor,,,10.9678,49.8472,30.90642547607422,machine,N,1.0</t>
  </si>
  <si>
    <t>Processing took: 3772.9287908320002
[codecarbon INFO @ 16:29:33] Energy consumed for RAM : 0.020926 kWh. RAM Power : 20.0 W
[codecarbon INFO @ 16:29:33] Delta energy consumed for CPU with constant : 0.000031 kWh, power : 32.5 W
[codecarbon INFO @ 16:29:33] Energy consumed for All CPU : 0.034043 kWh
[codecarbon INFO @ 16:29:33] Energy consumed for all GPUs : 0.037144 kWh. Total GPU Power : 37.009595699671756 W
[codecarbon INFO @ 16:29:33] 0.092113 kWh of electricity used since the beginning.</t>
  </si>
  <si>
    <t>2025-10-29T16:29:33,,80ea2e38-8a44-4c72-a334-ece52251485d,5b0fa12a-3dd7-45bb-9766-cc326314d9f1,3773.0527362850003,0.03509052122959537,9.300299699533481e-06,32.5,37.009595699671756,20.0,0.034043391357336056,0.037143755270536,0.020926047307277755,0.09211319393514994,Germany,DEU,bavaria,,,Linux-6.6.87.2-microsoft-standard-WSL2-x86_64-with-glibc2.41,3.9.23,3.0.5,16,AMD Ryzen 7 7700 8-Core Processor,1.0,1 x NVIDIA GeForce RTX 5070 Ti,10.9678,49.8472,30.906421661376953,machine,N,1.0</t>
  </si>
  <si>
    <t>Processing took: 4098.877773276996
[codecarbon INFO @ 08:30:25] Energy consumed for RAM : 0.022771 kWh. RAM Power : 20.0 W
[codecarbon INFO @ 08:30:25] Delta energy consumed for CPU with constant : 0.000034 kWh, power : 32.5 W
[codecarbon INFO @ 08:30:25] Energy consumed for All CPU : 0.037004 kWh
[codecarbon INFO @ 08:30:25] 0.059775 kWh of electricity used since the beginning.</t>
  </si>
  <si>
    <t>2025-11-07T08:30:25,,b9fed60f-b43f-4251-9170-0c6b9e624764,5b0fa12a-3dd7-45bb-9766-cc326314d9f1,4098.997667964999,0.02277145289589504,5.555371029815742e-06,32.5,0.0,20.0,0.03700420429127541,0.0,0.02277123315693313,0.059775437448208533,Germany,DEU,bavaria,,,Linux-6.6.87.2-microsoft-standard-WSL2-x86_64-with-glibc2.41,3.9.23,3.0.5,16,AMD Ryzen 7 7700 8-Core Processor,,,10.9678,49.8472,30.90642547607422,machine,N,1.0</t>
  </si>
  <si>
    <t>Processing took: 2966.2775079639996
[codecarbon INFO @ 22:40:22] Energy consumed for RAM : 0.016478 kWh. RAM Power : 20.0 W
[codecarbon INFO @ 22:40:22] Delta energy consumed for CPU with constant : 0.000102 kWh, power : 32.5 W
[codecarbon INFO @ 22:40:22] Energy consumed for All CPU : 0.026778 kWh
[codecarbon INFO @ 22:40:22] Energy consumed for all GPUs : 0.029811 kWh. Total GPU Power : 37.04768380052634 W
[codecarbon INFO @ 22:40:22] 0.073067 kWh of electricity used since the beginning.</t>
  </si>
  <si>
    <t>2025-11-06T22:40:22,,16174d1d-88ad-421d-bb74-11ef60cd092b,5b0fa12a-3dd7-45bb-9766-cc326314d9f1,2966.412053779999,0.027835055903199145,9.383408440418744e-06,32.5,37.04768380052634,20.0,0.026778078222268617,0.029810964682085994,0.016478435513283225,0.07306747841763786,Germany,DEU,bavaria,,,Linux-6.6.87.2-microsoft-standard-WSL2-x86_64-with-glibc2.41,3.9.23,3.0.5,16,AMD Ryzen 7 7700 8-Core Processor,1.0,1 x NVIDIA GeForce RTX 5070 Ti,10.9678,49.8472,30.90642547607422,machine,N,1.0</t>
  </si>
  <si>
    <t>Text Summarization: German School Websites</t>
  </si>
  <si>
    <t>TS2/S1</t>
  </si>
  <si>
    <t>School Websites</t>
  </si>
  <si>
    <t>Processing took: 91.01017151599808
[codecarbon INFO @ 06:16:18] Energy consumed for RAM : 0.000248 kWh. RAM Power : 10.0 W
[codecarbon INFO @ 06:16:18] Delta energy consumed for CPU with constant : 0.000056 kWh, power : 14.0 W
[codecarbon INFO @ 06:16:18] Energy consumed for All CPU : 0.000348 kWh
[codecarbon INFO @ 06:16:18] 0.000596 kWh of electricity used since the beginning.</t>
  </si>
  <si>
    <t>2025-10-13T06:16:18,lexrank,db62304b-9e7a-4ba8-ad84-cf7d0c7757e9,5b0fa12a-3dd7-45bb-9766-cc326314d9f1,89.45171236200258,0.00022714493375495834,2.5393022420378538e-06,14.0,0.0,10.0,0.0003478617975932987,0.0,0.0002483973801333276,0.0005962591777266264,Germany,DEU,bavaria,,,Linux-6.6.87.2-microsoft-standard-WSL2-x86_64-with-glibc2.41,3.9.23,3.0.5,8,11th Gen Intel(R) Core(TM) i7-1185G7 @ 3.00GHz,,,10.9678,49.8472,15.47481918334961,machine,N,1.0</t>
  </si>
  <si>
    <t>Bert</t>
  </si>
  <si>
    <t>Processing took: 3048.973675463003
[codecarbon INFO @ 06:12:24] Energy consumed for RAM : 0.008464 kWh. RAM Power : 10.0 W
[codecarbon INFO @ 06:12:24] Delta energy consumed for CPU with constant : 0.000009 kWh, power : 14.0 W
[codecarbon INFO @ 06:12:24] Energy consumed for All CPU : 0.011851 kWh
[codecarbon INFO @ 06:12:24] 0.020315 kWh of electricity used since the beginning.</t>
  </si>
  <si>
    <t>2025-10-13T06:12:24,bert,d34fb6f3-9dae-457e-a50e-ea68b826fd34,5b0fa12a-3dd7-45bb-9766-cc326314d9f1,3047.370175776996,0.0077390154757881,2.5395718371546056e-06,14.0,0.0,10.0,0.0118506300333517,0.0,0.0084644125596083,0.02031504259296,Germany,DEU,bavaria,,,Linux-6.6.87.2-microsoft-standard-WSL2-x86_64-with-glibc2.41,3.9.23,3.0.5,8,11th Gen Intel(R) Core(TM) i7-1185G7 @ 3.00GHz,,,10.9678,49.8472,15.47481918334961,machine,N,1.0</t>
  </si>
  <si>
    <t>mLongT5</t>
  </si>
  <si>
    <t>Processing took: 57275.888686237995
[codecarbon INFO @ 06:58:44] Energy consumed for RAM : 0.159086 kWh. RAM Power : 10.0 W
[codecarbon INFO @ 06:58:44] Delta energy consumed for CPU with constant : 0.000007 kWh, power : 14.0 W
[codecarbon INFO @ 06:58:44] Energy consumed for All CPU : 0.222728 kWh
[codecarbon INFO @ 06:58:44] 0.381814 kWh of electricity used since the beginning.</t>
  </si>
  <si>
    <t>2025-11-14T06:58:44,mlongt5,684cb600-c523-4c9c-b967-06b737a80ec1,5b0fa12a-3dd7-45bb-9766-cc326314d9f1,57274.083295167,0.1454520678125993,2.539579150712886e-06,14.0,0.0,10.0,0.2227280978300013,0.0,0.15908596651597184,0.38181406434597537,Germany,DEU,bavaria,,,Linux-6.6.87.2-microsoft-standard-WSL2-x86_64-with-glibc2.41,3.9.23,3.0.5,8,11th Gen Intel(R) Core(TM) i7-1185G7 @ 3.00GHz,,,10.9842,49.8155,15.47481918334961,machine,N,1.0</t>
  </si>
  <si>
    <t>Mistral</t>
  </si>
  <si>
    <t>Processing took: 252902.2286827
[codecarbon INFO @ 12:43:10] Energy consumed for RAM : 1.404891 kWh. RAM Power : 20.0 W
[codecarbon INFO @ 12:43:10] Delta energy consumed for CPU with constant : 0.000032 kWh, power : 112.0 W
[codecarbon INFO @ 12:43:10] Energy consumed for All CPU : 7.867688 kWh
[codecarbon INFO @ 12:43:10] 9.272578 kWh of electricity used since the beginning.</t>
  </si>
  <si>
    <t>2025-10-20T12:43:10,mixtral,845be021-4f55-4684-8e9c-c9359df4570b,5b0fa12a-3dd7-45bb-9766-cc326314d9f1,252900.0074885,3.53238873578076,1.3967531163245957e-05,112.0,0.0,20.0,7.86768774230437,0.0,1.4048906427349965,9.2725783850394,Germany,DEU,bavaria,,,Windows-11-10.0.26100-SP0,3.13.0,3.0.4,8,11th Gen Intel(R) Core(TM) i7-1185G7 @ 3.00GHz,,,10.9678,49.8472,31.71001434326172,machine,N,1.0</t>
  </si>
  <si>
    <t>TS2/S2</t>
  </si>
  <si>
    <t>Processing took: 98.86305554
[codecarbon INFO @ 07:24:44] Energy consumed for RAM : 0.000541 kWh. RAM Power : 20.0 W
[codecarbon INFO @ 07:24:44] Delta energy consumed for CPU with constant : 0.000066 kWh, power : 32.5 W
[codecarbon INFO @ 07:24:44] Energy consumed for All CPU : 0.000879 kWh
[codecarbon INFO @ 07:24:44] 0.001419 kWh of electricity used since the beginning.</t>
  </si>
  <si>
    <t>2025-11-03T07:24:44,lexrank,113e1e24-3e82-4934-9e56-f904eb51e1eb,5b0fa12a-3dd7-45bb-9766-cc326314d9f1,97.33924501299998,0.000540713799337209,5.554941372978544e-06,32.5,0.0,20.0,0.0008787340338291665,0.0,0.0005406485605722222,0.0014193825944013886,Germany,DEU,bavaria,,,Linux-5.15.167.4-microsoft-standard-WSL2-x86_64-with-glibc2.41,3.9.24,3.0.7,8,Intel(R) Core(TM) i7-9700 CPU @ 3.00GHz,,,10.8334,49.9129,31.257816314697266,machine,N,1.0</t>
  </si>
  <si>
    <t xml:space="preserve">Processing took: 2963.4571180989997
[codecarbon INFO @ 08:18:18] Energy consumed for RAM : 0.016454 kWh. RAM Power : 20.0 W
[codecarbon INFO @ 08:18:18] Delta energy consumed for CPU with constant : 0.000046 kWh, power : 32.5 W
[codecarbon INFO @ 08:18:18] Energy consumed for All CPU : 0.026739 kWh
[codecarbon INFO @ 08:18:18] 0.043194 kWh of electricity used since the beginning.
</t>
  </si>
  <si>
    <t>2025-10-14T08:18:18,bert,40d832b3-27b4-4888-a092-36aaad78cd8b,5b0fa12a-3dd7-45bb-9766-cc326314d9f1,2961.930678098,0.0164546173691576,5.555368831158456e-06,32.5,0.0,20.0,0.0267392006182978,0.0,0.0164544399359944,0.0431936405542923,Germany,DEU,bavaria,,,Linux-5.15.167.4-microsoft-standard-WSL2-x86_64-with-glibc2.41,3.9.24,3.0.7,8,Intel(R) Core(TM) i7-9700 CPU @ 3.00GHz,,,10.8334,49.9129,31.25782012939453,machine,N,1.0</t>
  </si>
  <si>
    <t xml:space="preserve">Processing took: 24335.959905433003
[codecarbon INFO @ 01:11:57] Energy consumed for RAM : 0.135185 kWh. RAM Power : 20.0 W
[codecarbon INFO @ 01:11:57] Delta energy consumed for CPU with constant : 0.000013 kWh, power : 32.5 W
[codecarbon INFO @ 01:11:57] Energy consumed for All CPU : 0.219682 kWh
[codecarbon INFO @ 01:11:57] 0.354867 kWh of electricity used since the beginning.
</t>
  </si>
  <si>
    <t>2025-11-14T01:11:57,mlongt5,696ccbb8-9c77-4359-bad3-ba023e019f23,5b0fa12a-3dd7-45bb-9766-cc326314d9f1,24334.36323115701,0.135186583972454,5.555377910993169e-06,32.5,0.0,20.0,0.21968175871762413,0.0,0.13518524212882257,0.35486700084644707,Germany,DEU,bavaria,,,Linux-5.15.167.4-microsoft-standard-WSL2-x86_64-with-glibc2.41,3.9.24,3.0.7,8,Intel(R) Core(TM) i7-9700 CPU @ 3.00GHz,,,10.9842,49.8155,31.25782012939453,machine,N,1.0</t>
  </si>
  <si>
    <t>Processing took: 124585.9487111
[codecarbon INFO @ 05:08:06] Energy consumed for RAM : 0.692025 kWh. RAM Power : 20.0 W
[codecarbon INFO @ 05:08:06] Delta energy consumed for CPU with constant : 0.000135 kWh, power : 260.0 W
[codecarbon INFO @ 05:08:06] Energy consumed for All CPU : 8.996556 kWh
[codecarbon INFO @ 05:08:06] Energy consumed for all GPUs : 0.000000 kWh. Total GPU Power : 0.0 W
[codecarbon INFO @ 05:08:06] 9.688582 kWh of electricity used since the beginning.</t>
  </si>
  <si>
    <t>2025-11-06T05:08:06,mixtral,672f349d-8ed3-4648-89f8-49d3b5e9a9f7,5b0fa12a-3dd7-45bb-9766-cc326314d9f1,124581.0286156,3.690865178487722,2.9626221741000724e-05,260.0,0.0,20.0,8.996556254219453,0.0,0.6920253929461145,9.688581647165565,Germany,DEU,bavaria,,,Windows-11-10.0.26200-SP0,3.13.2,3.0.7,8,Intel(R) Core(TM) i7-9700 CPU @ 3.00GHz,1.0,1 x NVIDIA GeForce GTX 1050 Ti,10.9678,49.8472,63.81718826293945,machine,N,1.0</t>
  </si>
  <si>
    <t>TS2/S3</t>
  </si>
  <si>
    <t xml:space="preserve">Processing took: 63.42804092699953
[codecarbon INFO @ 13:30:22] Energy consumed for RAM : 0.000344 kWh. RAM Power : 20.0 W
[codecarbon INFO @ 13:30:22] Delta energy consumed for CPU with constant : 0.000017 kWh, power : 32.5 W
[codecarbon INFO @ 13:30:22] Energy consumed for All CPU : 0.000559 kWh
[codecarbon INFO @ 13:30:22] 0.000903 kWh of electricity used since the beginning.
</t>
  </si>
  <si>
    <t>2025-10-13T13:30:22,lexrank,1cea3972-8797-47c4-b3f6-6fcdb30e943a,5b0fa12a-3dd7-45bb-9766-cc326314d9f1,61.93382040199958,0.00034400013664363907,5.554318051281279e-06,32.5,0.0,20.0,0.0005590861386048536,0.0,0.0003439198638722145,0.0009030060024770681,Germany,DEU,bavaria,,,Linux-6.6.87.2-microsoft-standard-WSL2-x86_64-with-glibc2.41,3.9.24,3.0.7,16,AMD Ryzen 7 7700 8-Core Processor,,,10.9678,49.8472,30.906429290771484,machine,N,1.0</t>
  </si>
  <si>
    <t xml:space="preserve">Processing took: 1480.9923544120002
[codecarbon INFO @ 13:56:09] Energy consumed for RAM : 0.008219 kWh. RAM Power : 20.0 W
[codecarbon INFO @ 13:56:09] Delta energy consumed for CPU with constant : 0.000085 kWh, power : 32.5 W
[codecarbon INFO @ 13:56:09] Energy consumed for All CPU : 0.013356 kWh
[codecarbon INFO @ 13:56:09] 0.021576 kWh of electricity used since the beginning.
</t>
  </si>
  <si>
    <t>2025-10-13T13:56:09,bert,640dc656-13dc-4da5-937d-6fb4f271a84a,5b0fa12a-3dd7-45bb-9766-cc326314d9f1,1479.507664267,0.008219192389288657,5.555356411999888e-06,32.5,0.0,20.0,0.013356408464722871,0.0,0.008219106404127772,0.021575514868850655,Germany,DEU,bavaria,,,Linux-6.6.87.2-microsoft-standard-WSL2-x86_64-with-glibc2.41,3.9.24,3.0.7,16,AMD Ryzen 7 7700 8-Core Processor,,,10.9678,49.8472,30.906429290771484,machine,N,1.0</t>
  </si>
  <si>
    <t xml:space="preserve">Processing took: 387.472600974
[codecarbon INFO @ 16:54:20] Energy consumed for RAM : 0.002144 kWh. RAM Power : 20.0 W
[codecarbon INFO @ 16:54:20] Delta energy consumed for CPU with constant : 0.000099 kWh, power : 32.5 W
[codecarbon INFO @ 16:54:20] Energy consumed for All CPU : 0.003484 kWh
[codecarbon INFO @ 16:54:20] Energy consumed for all GPUs : 0.008774 kWh. Total GPU Power : 81.22210315641621 W
[codecarbon INFO @ 16:54:20] 0.014402 kWh of electricity used since the beginning.
</t>
  </si>
  <si>
    <t>2025-10-12T16:54:20,bert,f6805e66-bc1d-4c79-bb0b-aae3dbbe086c,5b0fa12a-3dd7-45bb-9766-cc326314d9f1,385.937768908,0.00548638315492752,1.4215719727175409e-05,32.5,81.22210315641621,20.0,0.0034839039782624997,0.008774052297014001,0.002143889517944445,0.014401845793220947,Germany,DEU,bavaria,,,Linux-6.6.87.2-microsoft-standard-WSL2-x86_64-with-glibc2.41,3.9.24,3.0.7,16,AMD Ryzen 7 7700 8-Core Processor,1.0,1 x NVIDIA GeForce RTX 5070 Ti,10.9678,49.8472,30.906429290771484,machine,N,1.0</t>
  </si>
  <si>
    <t xml:space="preserve">Processing took: 18414.631976744
[codecarbon INFO @ 11:18:39] Energy consumed for RAM : 0.102291 kWh. RAM Power : 20.0 W
[codecarbon INFO @ 11:18:39] Delta energy consumed for CPU with constant : 0.000068 kWh, power : 32.5 W
[codecarbon INFO @ 11:18:39] Energy consumed for All CPU : 0.166227 kWh
[codecarbon INFO @ 11:18:39] 0.268518 kWh of electricity used since the beginning.
</t>
  </si>
  <si>
    <t>2025-11-14T11:18:39,mlongt5,7d993eab-971a-4c15-b8a1-fe2fbf707d2b,5b0fa12a-3dd7-45bb-9766-cc326314d9f1,18413.106427499002,0.10229202840494345,5.555392231490918e-06,32.5,0.0,20.0,0.16622698569306746,0.0,0.10229126710898925,0.26851825280205655,Germany,DEU,bavaria,,,Linux-6.6.87.2-microsoft-standard-WSL2-x86_64-with-glibc2.41,3.9.24,3.0.7,16,AMD Ryzen 7 7700 8-Core Processor,,,10.9842,49.8155,30.906429290771484,machine,N,1.0</t>
  </si>
  <si>
    <t xml:space="preserve">Processing took: 2209.0436586239994
[codecarbon INFO @ 12:32:56] Energy consumed for RAM : 0.012263 kWh. RAM Power : 20.0 W
[codecarbon INFO @ 12:32:56] Delta energy consumed for CPU with constant : 0.000022 kWh, power : 32.5 W
[codecarbon INFO @ 12:32:56] Energy consumed for All CPU : 0.019927 kWh
[codecarbon INFO @ 12:32:56] Energy consumed for all GPUs : 0.071655 kWh. Total GPU Power : 110.54342300008152 W
[codecarbon INFO @ 12:32:56] 0.103845 kWh of electricity used since the beginning.
</t>
  </si>
  <si>
    <t>2025-11-14T12:32:56,mlongt5,5375fd6c-6dba-4e53-bba0-58cce85411bf,5b0fa12a-3dd7-45bb-9766-cc326314d9f1,2207.489898241998,0.03955962547655309,1.7920637149034116e-05,32.5,110.54342300008152,20.0,0.019927243319434275,0.071654795379346,0.012262627206333471,0.10384466590511376,Germany,DEU,bavaria,,,Linux-6.6.87.2-microsoft-standard-WSL2-x86_64-with-glibc2.41,3.9.24,3.0.7,16,AMD Ryzen 7 7700 8-Core Processor,1.0,1 x NVIDIA GeForce RTX 5070 Ti,10.9842,49.8155,30.906429290771484,machine,N,1.0</t>
  </si>
  <si>
    <t>Processing took: 42375.6718601
[codecarbon INFO @ 21:06:00] Energy consumed for RAM : 0.235371 kWh. RAM Power : 20.0 W
[codecarbon INFO @ 21:06:00] Delta energy consumed for CPU with constant : 0.000912 kWh, power : 520.0 W
[codecarbon INFO @ 21:06:00] Energy consumed for All CPU : 6.119850 kWh
[codecarbon INFO @ 21:06:00] Energy consumed for all GPUs : 0.090913 kWh. Total GPU Power : 7.756854188895491 W
[codecarbon INFO @ 21:06:00] 6.446135 kWh of electricity used since the beginning.</t>
  </si>
  <si>
    <t>2025-10-17T21:06:00,mixtral,88129907-3b48-4c14-b523-62e2e7acc9a5,5b0fa12a-3dd7-45bb-9766-cc326314d9f1,42373.9421883,2.4556549708388595,5.7952006446001566e-05,520.0,7.756854188895491,20.0,6.119850410483336,0.090913106897094,0.23537106941277744,6.446134586793173,Germany,DEU,bavaria,,,Windows-11-10.0.26200-SP0,3.13.9,3.0.7,16,AMD Ryzen 7 7700 8-Core Processor,1.0,1 x NVIDIA GeForce RTX 5070 Ti,10.9678,49.8472,63.11513137817383,machine,N,1.0</t>
  </si>
  <si>
    <t>Processing took: 11735.241880599999
[codecarbon INFO @ 16:52:44] Energy consumed for RAM : 0.065176 kWh. RAM Power : 20.0 W
[codecarbon INFO @ 16:52:44] Delta energy consumed for CPU with constant : 0.001745 kWh, power : 520.0 W
[codecarbon INFO @ 16:52:44] Energy consumed for All CPU : 1.694644 kWh
[codecarbon INFO @ 16:52:44] Energy consumed for all GPUs : 0.186682 kWh. Total GPU Power : 51.354630070343596 W
[codecarbon INFO @ 16:52:44] 1.946502 kWh of electricity used since the beginning.</t>
  </si>
  <si>
    <t>2025-11-14T16:52:44,mixtral,9bd98a5a-15ac-461d-a8db-fd74116779db,5b0fa12a-3dd7-45bb-9766-cc326314d9f1,11733.435874200004,0.7415200041187071,6.319717532604358e-05,520.0,51.354630070343596,20.0,1.6946442674489075,0.18668163767852403,0.0651762713227786,1.9465021764502088,Germany,DEU,bavaria,,,Windows-11-10.0.26200-SP0,3.13.9,3.0.7,16,AMD Ryzen 7 7700 8-Core Processor,1.0,1 x NVIDIA GeForce RTX 5070 Ti,10.9842,49.8155,63.11513137817383,machine,N,1.0</t>
  </si>
  <si>
    <t>Text Summarization: Multilingual Corpora</t>
  </si>
  <si>
    <t>TS3/S1</t>
  </si>
  <si>
    <t>Emails-Enron</t>
  </si>
  <si>
    <t xml:space="preserve">Processing took: 1.7792653550004616
[codecarbon INFO @ 07:37:21] Energy consumed for RAM : 0.000001 kWh. RAM Power : 10.0 W
[codecarbon INFO @ 07:37:21] Delta energy consumed for CPU with constant : 0.000001 kWh, power : 14.0 W
[codecarbon INFO @ 07:37:21] Energy consumed for All CPU : 0.000001 kWh
[codecarbon INFO @ 07:37:21] 0.000002 kWh of electricity used since the beginning.
</t>
  </si>
  <si>
    <t>2025-10-17T07:37:21,lexrank-emails,3cd3e29f-5cc7-420a-b805-5c85aa4e877d,5b0fa12a-3dd7-45bb-9766-cc326314d9f1,0.26563931700002286,6.734788648045173e-07,2.535313192378293e-06,14.0,0.0,10.0,1.032261377777609e-06,0.0,7.356316916659328e-07,1.7678930694435418e-06,Germany,DEU,bavaria,,,Linux-6.6.87.2-microsoft-standard-WSL2-x86_64-with-glibc2.41,3.9.24,3.0.7,8,11th Gen Intel(R) Core(TM) i7-1185G7 @ 3.00GHz,,,10.9678,49.8472,15.474815368652344,machine,N,1.0</t>
  </si>
  <si>
    <t>News-Newsroom</t>
  </si>
  <si>
    <t>Processing took: 1.6787581409998893
[codecarbon INFO @ 07:40:23] Energy consumed for RAM : 0.000000 kWh. RAM Power : 10.0 W
[codecarbon INFO @ 07:40:23] Delta energy consumed for CPU with constant : 0.000001 kWh, power : 14.0 W
[codecarbon INFO @ 07:40:23] Energy consumed for All CPU : 0.000001 kWh
[codecarbon INFO @ 07:40:23] 0.000001 kWh of electricity used since the beginning.</t>
  </si>
  <si>
    <t>2025-10-17T07:40:23,lexrank-news-EN,535a7ce2-ca2e-40e0-8816-0d2352207adc,5b0fa12a-3dd7-45bb-9766-cc326314d9f1,0.16085172799921565,4.0755518969332256e-07,2.533732119404461e-06,14.0,0.0,10.0,6.249251399968772e-07,0.0,4.4491391944221606e-07,1.0698390594390932e-06,Germany,DEU,bavaria,,,Linux-6.6.87.2-microsoft-standard-WSL2-x86_64-with-glibc2.41,3.9.24,3.0.7,8,11th Gen Intel(R) Core(TM) i7-1185G7 @ 3.00GHz,,,10.9678,49.8472,15.474815368652344,machine,N,1.0</t>
  </si>
  <si>
    <t>Papers-Termith</t>
  </si>
  <si>
    <t>Processing took: 3.323079620999124
[codecarbon INFO @ 09:46:32] Energy consumed for RAM : 0.000005 kWh. RAM Power : 10.0 W
[codecarbon INFO @ 09:46:32] Delta energy consumed for CPU with constant : 0.000006 kWh, power : 14.0 W
[codecarbon INFO @ 09:46:32] Energy consumed for All CPU : 0.000006 kWh
[codecarbon INFO @ 09:46:32] 0.000011 kWh of electricity used since the beginning.</t>
  </si>
  <si>
    <t>2025-10-22T09:46:32,lexrank-papers-FR,7fe75d0b-93f2-425f-8c0a-7204fc4fb1b0,5b0fa12a-3dd7-45bb-9766-cc326314d9f1,1.65629140099918,4.205583438324627e-06,2.5391567183090807e-06,14.0,0.0,10.0,6.440594471109256e-06,0.0,4.5991310527774154e-06,1.1039725523886671e-05,Germany,DEU,bavaria,,,Linux-6.6.87.2-microsoft-standard-WSL2-x86_64-with-glibc2.41,3.9.24,3.0.7,8,11th Gen Intel(R) Core(TM) i7-1185G7 @ 3.00GHz,,,10.9678,49.8472,15.474822998046875,machine,N,1.0</t>
  </si>
  <si>
    <t>Schools Websites-Custom</t>
  </si>
  <si>
    <t xml:space="preserve">Processing took: 3.7168132779997904
[codecarbon INFO @ 07:41:51] Energy consumed for RAM : 0.000006 kWh. RAM Power : 10.0 W
[codecarbon INFO @ 07:41:51] Delta energy consumed for CPU with constant : 0.000008 kWh, power : 14.0 W
[codecarbon INFO @ 07:41:51] Energy consumed for All CPU : 0.000008 kWh
[codecarbon INFO @ 07:41:51] 0.000014 kWh of electricity used since the beginning.
</t>
  </si>
  <si>
    <t>2025-10-17T07:41:51,lexrank-school-DE,1135ae69-d0f9-4a77-9722-1d217e3d65a0,5b0fa12a-3dd7-45bb-9766-cc326314d9f1,2.1740981380007725,5.520494639974737e-06,2.5392113370977808e-06,14.0,0.0,10.0,8.454160403891567e-06,0.0,6.037228597223374e-06,1.449138900111494e-05,Germany,DEU,bavaria,,,Linux-6.6.87.2-microsoft-standard-WSL2-x86_64-with-glibc2.41,3.9.24,3.0.7,8,11th Gen Intel(R) Core(TM) i7-1185G7 @ 3.00GHz,,,10.9678,49.8472,15.474815368652344,machine,N,1.0</t>
  </si>
  <si>
    <t>Web Snippets-Custom</t>
  </si>
  <si>
    <t xml:space="preserve">Processing took: 1.9888372089999393
[codecarbon INFO @ 07:43:54] Energy consumed for RAM : 0.000001 kWh. RAM Power : 10.0 W
[codecarbon INFO @ 07:43:54] Delta energy consumed for CPU with constant : 0.000002 kWh, power : 14.0 W
[codecarbon INFO @ 07:43:54] Energy consumed for All CPU : 0.000002 kWh
[codecarbon INFO @ 07:43:54] 0.000003 kWh of electricity used since the beginning.
</t>
  </si>
  <si>
    <t>2025-10-17T07:43:54,lexrank-web-IT,05793fb2-f539-4937-9a32-543ec1d07783,5b0fa12a-3dd7-45bb-9766-cc326314d9f1,0.467941996999798,1.1870814257734024e-06,2.5368131806598988e-06,14.0,0.0,10.0,1.8184006322220133e-06,0.0,1.2977075861095324e-06,3.1161082183315457e-06,Germany,DEU,bavaria,,,Linux-6.6.87.2-microsoft-standard-WSL2-x86_64-with-glibc2.41,3.9.24,3.0.7,8,11th Gen Intel(R) Core(TM) i7-1185G7 @ 3.00GHz,,,10.9678,49.8472,15.474815368652344,machine,N,1.0</t>
  </si>
  <si>
    <t>Processing took: 545.4816547330001
[codecarbon INFO @ 07:14:15] Energy consumed for RAM : 0.001511 kWh. RAM Power : 10.0 W
[codecarbon INFO @ 07:14:15] Delta energy consumed for CPU with constant : 0.000015 kWh, power : 14.0 W
[codecarbon INFO @ 07:14:15] Energy consumed for All CPU : 0.002116 kWh
[codecarbon INFO @ 07:14:15] 0.003627 kWh of electricity used since the beginning.</t>
  </si>
  <si>
    <t>2025-10-22T07:14:15,mlongt5-emails,73d5c92b-ab75-4392-98b1-51188734e0bb,5b0fa12a-3dd7-45bb-9766-cc326314d9f1,544.0187611200004,0.001381570547238,2.5395641584009613e-06,14.0,0.0,10.0,0.0021155814378805,0.0,0.0015110639151527,0.0036266453530333,Germany,DEU,bavaria,,,Linux-6.6.87.2-microsoft-standard-WSL2-x86_64-with-glibc2.35,3.11.9,3.0.7,8,11th Gen Intel(R) Core(TM) i7-1185G7 @ 3.00GHz,,,10.9678,49.8472,15.474822998046877,machine,N,1.0</t>
  </si>
  <si>
    <t xml:space="preserve">Processing took: 282.0948957119999
[codecarbon INFO @ 07:43:51] Energy consumed for RAM : 0.000780 kWh. RAM Power : 10.0 W
[codecarbon INFO @ 07:43:51] Delta energy consumed for CPU with constant : 0.000042 kWh, power : 14.0 W
[codecarbon INFO @ 07:43:51] Energy consumed for All CPU : 0.001092 kWh
[codecarbon INFO @ 07:43:51] 0.001871 kWh of electricity used since the beginning.
</t>
  </si>
  <si>
    <t>2025-10-22T07:43:51,mlongt5-news-en-and-fr,fbadf02a-f074-4409-b7bd-31c326b4bbea,5b0fa12a-3dd7-45bb-9766-cc326314d9f1,280.7326341600001,0.0007129399916423,2.539569344246792e-06,14.0,0.0,10.0,0.0010917146187811,0.0,0.0007797645560249,0.0018714791748061,Germany,DEU,bavaria,,,Linux-6.6.87.2-microsoft-standard-WSL2-x86_64-with-glibc2.35,3.11.9,3.0.7,8,11th Gen Intel(R) Core(TM) i7-1185G7 @ 3.00GHz,,,10.9678,49.8472,15.474822998046877,machine,N,1.0</t>
  </si>
  <si>
    <t xml:space="preserve">Processing took: 1329.8535665939999
[codecarbon INFO @ 09:37:53] Energy consumed for RAM : 0.003684 kWh. RAM Power : 10.0 W
[codecarbon INFO @ 09:37:53] Delta energy consumed for CPU with constant : 0.000029 kWh, power : 14.0 W
[codecarbon INFO @ 09:37:53] Energy consumed for All CPU : 0.005164 kWh
[codecarbon INFO @ 09:37:53] 0.008848 kWh of electricity used since the beginning.
</t>
  </si>
  <si>
    <t>2025-10-22T09:37:53,mlongt5-papers,46e10ba8-d79b-493a-b235-5ceab42a6353,5b0fa12a-3dd7-45bb-9766-cc326314d9f1,1328.0107003739995,0.003370824159128233,2.5382507521806327e-06,14.0,0.0,10.0,0.005164284122110564,0.0,0.0036841845985305564,0.008848468720641114,Germany,DEU,bavaria,,,Linux-6.6.87.2-microsoft-standard-WSL2-x86_64-with-glibc2.35,3.11.9,3.0.7,8,11th Gen Intel(R) Core(TM) i7-1185G7 @ 3.00GHz,,,10.9678,49.8472,15.474822998046875,machine,N,1.0</t>
  </si>
  <si>
    <t xml:space="preserve">Processing took: 879.1157029860005
[codecarbon INFO @ 10:16:11] Energy consumed for RAM : 0.002438 kWh. RAM Power : 10.0 W
[codecarbon INFO @ 10:16:11] Delta energy consumed for CPU with constant : 0.000030 kWh, power : 14.0 W
[codecarbon INFO @ 10:16:11] Energy consumed for All CPU : 0.003413 kWh
[codecarbon INFO @ 10:16:11] 0.005851 kWh of electricity used since the beginning.
</t>
  </si>
  <si>
    <t>2025-10-22T10:16:11,mlongt5-school,e03799f0-7148-4111-9c8d-8e7c31513b37,5b0fa12a-3dd7-45bb-9766-cc326314d9f1,877.7040097549998,0.0022289697638309,2.539546064570396e-06,14.0,0.0,10.0,0.0034132025646172,0.0,0.0024378796347027,0.00585108219932,Germany,DEU,bavaria,,,Linux-6.6.87.2-microsoft-standard-WSL2-x86_64-with-glibc2.35,3.11.9,3.0.7,8,11th Gen Intel(R) Core(TM) i7-1185G7 @ 3.00GHz,,,10.9678,49.8472,15.474822998046877,machine,N,1.0</t>
  </si>
  <si>
    <t>Processing took: 237.32118194299983
[codecarbon INFO @ 11:22:44] Energy consumed for RAM : 0.000655 kWh. RAM Power : 10.0 W
[codecarbon INFO @ 11:22:44] Delta energy consumed for CPU with constant : 0.000042 kWh, power : 14.0 W
[codecarbon INFO @ 11:22:44] Energy consumed for All CPU : 0.000918 kWh
[codecarbon INFO @ 11:22:44] 0.001573 kWh of electricity used since the beginning.</t>
  </si>
  <si>
    <t>2025-10-22T11:22:44,mlongt5-web,58253662-4bbd-4cb3-8d8b-3f6fb87617ea,5b0fa12a-3dd7-45bb-9766-cc326314d9f1,235.94107023799734,0.0005991869399483687,2.5395618462862773e-06,14.0,0.0,10.0,0.0009175245631532966,0.0,0.0006553509846833449,0.0015728755478366418,Germany,DEU,bavaria,,,Linux-6.6.87.2-microsoft-standard-WSL2-x86_64-with-glibc2.35,3.11.9,3.0.7,8,11th Gen Intel(R) Core(TM) i7-1185G7 @ 3.00GHz,,,10.9678,49.8472,15.474822998046875,machine,N,1.0</t>
  </si>
  <si>
    <t>Mistral Nemo</t>
  </si>
  <si>
    <t>Processing took: 1446.2061505879974
[codecarbon INFO @ 14:24:34] Energy consumed for RAM : 0.004013 kWh. RAM Power : 10.0 W
[codecarbon INFO @ 14:24:34] Delta energy consumed for CPU with constant : 0.000018 kWh, power : 14.0 W
[codecarbon INFO @ 14:24:34] Energy consumed for All CPU : 0.005618 kWh
[codecarbon INFO @ 14:24:34] 0.009631 kWh of electricity used since the beginning.</t>
  </si>
  <si>
    <t>2025-10-24T14:24:34,mistralnemo,32142011-b6d8-4972-91b6-f7a9db45b0b3,5b0fa12a-3dd7-45bb-9766-cc326314d9f1,1444.6667557599976,0.0036688622899230493,2.539590722424402e-06,14.0,0.0,10.0,0.005618049487240574,0.0,0.0040127742164555846,0.009630823703696152,Germany,DEU,bavaria,,,Linux-6.6.87.2-microsoft-standard-WSL2-x86_64-with-glibc2.39,3.12.3,3.0.7,8,11th Gen Intel(R) Core(TM) i7-1185G7 @ 3.00GHz,,,10.9678,49.8472,15.474822998046875,machine,N,1.0</t>
  </si>
  <si>
    <t xml:space="preserve">Processing took: 763.0041860800011
[codecarbon INFO @ 14:10:45] Energy consumed for RAM : 0.002115 kWh. RAM Power : 10.0 W
[codecarbon INFO @ 14:10:45] Delta energy consumed for CPU with constant : 0.000045 kWh, power : 14.0 W
[codecarbon INFO @ 14:10:45] Energy consumed for All CPU : 0.002962 kWh             
[codecarbon INFO @ 14:10:45] 0.005077 kWh of electricity used since the beginning.                           
</t>
  </si>
  <si>
    <t>2025-10-22T14:10:45,mistralnemo,14e94a15-49ce-49d1-a670-6e72ada133d6,5b0fa12a-3dd7-45bb-9766-cc326314d9f1,761.6145538199999,0.001934175495845,2.5395726567249502e-06,14.0,0.0,10.0,0.0029617742971832,0.0,0.002115468112175,0.0050772424093583,Germany,DEU,bavaria,,,Linux-6.6.87.2-microsoft-standard-WSL2-x86_64-with-glibc2.39,3.12.3,3.0.7,8,11th Gen Intel(R) Core(TM) i7-1185G7 @ 3.00GHz,,,10.9678,49.8472,15.474822998046877,machine,N,1.0</t>
  </si>
  <si>
    <t xml:space="preserve">Processing took: 2797.4379917210026
[codecarbon INFO @ 19:01:41] Energy consumed for RAM : 0.007766 kWh. RAM Power : 10.0 W
[codecarbon INFO @ 19:01:41] Delta energy consumed for CPU with constant : 0.000023 kWh, power : 14.0 W
[codecarbon INFO @ 19:01:41] Energy consumed for All CPU : 0.010873 kWh             
[codecarbon INFO @ 19:01:41] 0.018640 kWh of electricity used since the beginning.                                   
</t>
  </si>
  <si>
    <t>2025-10-22T19:01:41,mistralnemo,485f8601-2a85-4bb6-af12-fd09bfbe2801,5b0fa12a-3dd7-45bb-9766-cc326314d9f1,2796.0506477820018,0.0071008394312676425,2.5395961396123e-06,14.0,0.0,10.0,0.010873349725058176,0.0,0.007766470280894399,0.018639820005952597,Germany,DEU,bavaria,,,Linux-6.6.87.2-microsoft-standard-WSL2-x86_64-with-glibc2.39,3.12.3,3.0.7,8,11th Gen Intel(R) Core(TM) i7-1185G7 @ 3.00GHz,,,10.9678,49.8472,15.474822998046875,machine,N,1.0</t>
  </si>
  <si>
    <t>Processing took: 3277.0762211770016
[codecarbon INFO @ 07:45:29] Energy consumed for RAM : 0.009098 kWh. RAM Power : 10.0 W                 
[codecarbon INFO @ 07:45:29] Delta energy consumed for CPU with constant : 0.000021 kWh, power : 14.0 W 
[codecarbon INFO @ 07:45:29] Energy consumed for All CPU : 0.012738 kWh                                 
[codecarbon INFO @ 07:45:29] 0.021836 kWh of electricity used since the beginning.</t>
  </si>
  <si>
    <t>2025-10-27T07:45:29,mistralnemo,09cf69a8-5767-49e9-9627-d8ac7028b704,5b0fa12a-3dd7-45bb-9766-cc326314d9f1,3275.5203046239985,0.0083184750272996,2.539588906091217e-06,14.0,0.0,10.0,0.0127379017808037,0.0,0.0090982316416916,0.0218361334224954,Germany,DEU,bavaria,,,Linux-6.6.87.2-microsoft-standard-WSL2-x86_64-with-glibc2.39,3.12.3,3.0.7,8,11th Gen Intel(R) Core(TM) i7-1185G7 @ 3.00GHz,,,10.9678,49.8472,15.47481918334961,machine,N,1.0</t>
  </si>
  <si>
    <t>Processing took: 2310.421684576999
[codecarbon INFO @ 02:44:09] Energy consumed for RAM : 0.006414 kWh. RAM Power : 10.0 W                    
[codecarbon INFO @ 02:44:09] Delta energy consumed for CPU with constant : 0.000054 kWh, power : 14.0 W    
[codecarbon INFO @ 02:44:09] Energy consumed for All CPU : 0.008980 kWh                                    
[codecarbon INFO @ 02:44:09] 0.015393 kWh of electricity used since the beginning.</t>
  </si>
  <si>
    <t>2025-10-27T02:44:09,mistralnemo,fa1dec38-8a1b-4dd5-a996-46698208696a,5b0fa12a-3dd7-45bb-9766-cc326314d9f1,2309.056747441002,0.0058640614945461,2.5395917623267605e-06,14.0,0.0,10.0,0.0089795035139522,0.0,0.0064137541170916,0.0153932576310439,Germany,DEU,bavaria,,,Linux-6.6.87.2-microsoft-standard-WSL2-x86_64-with-glibc2.39,3.12.3,3.0.7,8,11th Gen Intel(R) Core(TM) i7-1185G7 @ 3.00GHz,,,10.9678,49.8472,15.47481918334961,machine,N,1.0</t>
  </si>
  <si>
    <t>TS3/S2</t>
  </si>
  <si>
    <t xml:space="preserve">Processing took: 1.9445324080006685
[codecarbon INFO @ 12:16:43] Energy consumed for RAM : 0.000002 kWh. RAM Power : 20.0 W
[codecarbon INFO @ 12:16:43] Delta energy consumed for CPU with constant : 0.000003 kWh, power : 32.5 W
[codecarbon INFO @ 12:16:43] Energy consumed for All CPU : 0.000003 kWh
[codecarbon INFO @ 12:16:43] 0.000005 kWh of electricity used since the beginning.
</t>
  </si>
  <si>
    <t>2025-11-13T12:16:43,lexrank-emails,3d077318-77ff-46db-9476-26eb17f3146c,5b0fa12a-3dd7-45bb-9766-cc326314d9f1,0.3360032229975331,1.86322002412722e-06,5.545244499457968e-06,32.5,0.0,20.0,3.0298432486233654e-06,0.0,1.86113988335516e-06,4.890983131978526e-06,Germany,DEU,bavaria,,,Linux-5.15.167.4-microsoft-standard-WSL2-x86_64-with-glibc2.41,3.9.24,3.0.7,8,Intel(R) Core(TM) i7-9700 CPU @ 3.00GHz,,,10.9842,49.8155,31.25782012939453,machine,N,1.0</t>
  </si>
  <si>
    <t xml:space="preserve">Processing took: 1.7822837049970985
[codecarbon INFO @ 12:20:47] Energy consumed for RAM : 0.000001 kWh. RAM Power : 20.0 W
[codecarbon INFO @ 12:20:47] Delta energy consumed for CPU with constant : 0.000002 kWh, power : 32.5 W
[codecarbon INFO @ 12:20:47] Energy consumed for All CPU : 0.000002 kWh
[codecarbon INFO @ 12:20:47] 0.000003 kWh of electricity used since the beginning.
</t>
  </si>
  <si>
    <t>2025-11-13T12:20:47,lexrank-news-EN,83417ec9-2f98-4100-8443-274b749250bb,5b0fa12a-3dd7-45bb-9766-cc326314d9f1,0.2259109959995839,1.249080843748238e-06,5.52908386872208e-06,32.5,0.0,20.0,2.032024213233146e-06,0.0,1.246833494466652e-06,3.278857707699798e-06,Germany,DEU,bavaria,,,Linux-5.15.167.4-microsoft-standard-WSL2-x86_64-with-glibc2.41,3.9.24,3.0.7,8,Intel(R) Core(TM) i7-9700 CPU @ 3.00GHz,,,10.9842,49.8155,31.25782012939453,machine,N,1.0</t>
  </si>
  <si>
    <t xml:space="preserve">Processing took: 3.5010544339966145
[codecarbon INFO @ 12:21:18] Energy consumed for RAM : 0.000011 kWh. RAM Power : 20.0 W
[codecarbon INFO @ 12:21:18] Delta energy consumed for CPU with constant : 0.000018 kWh, power : 32.5 W
[codecarbon INFO @ 12:21:18] Energy consumed for All CPU : 0.000018 kWh
[codecarbon INFO @ 12:21:18] 0.000028 kWh of electricity used since the beginning.
</t>
  </si>
  <si>
    <t>2025-11-13T12:21:18,lexrank-papers-FR,11310f1f-4147-4997-b5a6-8758e954f14d,5b0fa12a-3dd7-45bb-9766-cc326314d9f1,1.954500989006192,1.0856046063595906e-05,5.554382486711299e-06,32.5,0.0,20.0,1.7643014819496887e-05,0.0,1.0854284205561273e-05,2.849729902505816e-05,Germany,DEU,bavaria,,,Linux-5.15.167.4-microsoft-standard-WSL2-x86_64-with-glibc2.41,3.9.24,3.0.7,8,Intel(R) Core(TM) i7-9700 CPU @ 3.00GHz,,,10.9842,49.8155,31.25782012939453,machine,N,1.0</t>
  </si>
  <si>
    <t xml:space="preserve">Processing took: 4.270550474000629
[codecarbon INFO @ 12:21:40] Energy consumed for RAM : 0.000015 kWh. RAM Power : 20.0 W
[codecarbon INFO @ 12:21:40] Delta energy consumed for CPU with constant : 0.000025 kWh, power : 32.5 W
[codecarbon INFO @ 12:21:40] Energy consumed for All CPU : 0.000025 kWh
[codecarbon INFO @ 12:21:40] 0.000040 kWh of electricity used since the beginning.
</t>
  </si>
  <si>
    <t>2025-11-13T12:21:40,lexrank-school-DE,82f2865e-4bd2-42d5-8c14-9574cc14f997,5b0fa12a-3dd7-45bb-9766-cc326314d9f1,2.7203911789983977,1.5109212893800964e-05,5.5540589200719e-06,32.5,0.0,20.0,2.455512547221588e-05,0.0,1.5106806261084988e-05,3.966193173330086e-05,Germany,DEU,bavaria,,,Linux-5.15.167.4-microsoft-standard-WSL2-x86_64-with-glibc2.41,3.9.24,3.0.7,8,Intel(R) Core(TM) i7-9700 CPU @ 3.00GHz,,,10.9842,49.8155,31.25782012939453,machine,N,1.0</t>
  </si>
  <si>
    <t xml:space="preserve">Processing took: 2.152994068004773
[codecarbon INFO @ 12:21:54] Energy consumed for RAM : 0.000003 kWh. RAM Power : 20.0 W
[codecarbon INFO @ 12:21:54] Delta energy consumed for CPU with constant : 0.000006 kWh, power : 32.5 W
[codecarbon INFO @ 12:21:54] Energy consumed for All CPU : 0.000006 kWh
[codecarbon INFO @ 12:21:54] 0.000009 kWh of electricity used since the beginning.
</t>
  </si>
  <si>
    <t>2025-11-13T12:21:54,lexrank-web-IT,cc5225e6-c85c-4d34-9d61-d4f1a7d98949,5b0fa12a-3dd7-45bb-9766-cc326314d9f1,0.6148551349979243,3.412499848465988e-06,5.550087580349326e-06,32.5,0.0,20.0,5.547951499996392e-06,0.0,3.409916588902383e-06,8.957868088898774e-06,Germany,DEU,bavaria,,,Linux-5.15.167.4-microsoft-standard-WSL2-x86_64-with-glibc2.41,3.9.24,3.0.7,8,Intel(R) Core(TM) i7-9700 CPU @ 3.00GHz,,,10.9842,49.8155,31.25782012939453,machine,N,1.0</t>
  </si>
  <si>
    <t>Processing took: 349.305048591
[codecarbon INFO @ 09:37:49] Energy consumed for RAM : 0.001933 kWh. RAM Power : 20.0 W
[codecarbon INFO @ 09:37:49] Delta energy consumed for CPU with constant : 0.000025 kWh, power : 32.5 W
[codecarbon INFO @ 09:37:49] Energy consumed for All CPU : 0.003141 kWh
[codecarbon INFO @ 09:37:49] 0.005074 kWh of electricity used since the beginning.</t>
  </si>
  <si>
    <t>2025-11-14T09:37:49,mlongt5-emails,2454540b-5b89-41b5-a804-86433f1b5f1b,5b0fa12a-3dd7-45bb-9766-cc326314d9f1,347.915226445,0.0019327935463791,5.555357740816399e-06,32.5,0.0,20.0,0.0031408383995263,0.0,0.0019327763698111,0.0050736147693375,Germany,DEU,bavaria,,,Linux-5.15.167.4-microsoft-standard-WSL2-x86_64-with-glibc2.35,3.11.9,3.0.7,8,Intel(R) Core(TM) i7-9700 CPU @ 3.00GHz,,,10.9842,49.8155,31.25782012939453,machine,N,1.0</t>
  </si>
  <si>
    <t xml:space="preserve">Processing took: 656.6284820870001
[codecarbon INFO @ 09:49:50] Energy consumed for RAM : 0.003640 kWh. RAM Power : 20.0 W
[codecarbon INFO @ 09:49:50] Delta energy consumed for CPU with constant : 0.000091 kWh, power : 32.5 W
[codecarbon INFO @ 09:49:50] Energy consumed for All CPU : 0.005915 kWh
[codecarbon INFO @ 09:49:50] Energy consumed for all GPUs : 0.000000 kWh. Total GPU Power : 0.0 W
[codecarbon INFO @ 09:49:50] 0.009554 kWh of electricity used since the beginning.
</t>
  </si>
  <si>
    <t>2025-11-14T09:49:50,mlongt5-emails,27e4a7dc-c394-4cda-b958-d4a395462b78,5b0fa12a-3dd7-45bb-9766-cc326314d9f1,655.1893627110001,0.0036397154168496984,5.555211399937142e-06,32.5,0.0,20.0,0.005914616400568061,0.0,0.0036396962831166664,0.009554312683684731,Germany,DEU,bavaria,,,Linux-5.15.167.4-microsoft-standard-WSL2-x86_64-with-glibc2.35,3.11.9,3.0.7,8,Intel(R) Core(TM) i7-9700 CPU @ 3.00GHz,1.0,1 x NVIDIA GeForce GTX 1050 Ti,10.9842,49.8155,31.25782012939453,machine,N,1.0</t>
  </si>
  <si>
    <t>Processing took: 239.49105087999487
[codecarbon INFO @ 10:37:59] Energy consumed for RAM : 0.001323 kWh. RAM Power : 20.0 W
[codecarbon INFO @ 10:37:59] Delta energy consumed for CPU with constant : 0.000118 kWh, power : 32.5 W
[codecarbon INFO @ 10:37:59] Energy consumed for All CPU : 0.002150 kWh
[codecarbon INFO @ 10:37:59] 0.003473 kWh of electricity used since the beginning.</t>
  </si>
  <si>
    <t>2025-11-13T10:37:59,mlongt5-news-en-and-fr,5000de73-c376-46d5-8312-49a3c6668543,5b0fa12a-3dd7-45bb-9766-cc326314d9f1,238.14331667600345,0.0013229504084238438,5.555269939503413e-06,32.5,0.0,20.0,0.0021498322050201046,0.0,0.0013229343218832783,0.003472766526903383,Germany,DEU,bavaria,,,Linux-5.15.167.4-microsoft-standard-WSL2-x86_64-with-glibc2.35,3.11.9,3.0.7,8,Intel(R) Core(TM) i7-9700 CPU @ 3.00GHz,,,10.9842,49.8155,31.25782012939453,machine,N,1.0</t>
  </si>
  <si>
    <t>Processing took: 240.6109563639984
[codecarbon INFO @ 09:13:30] Energy consumed for RAM : 0.001329 kWh. RAM Power : 20.0 W
[codecarbon INFO @ 09:13:30] Delta energy consumed for CPU with constant : 0.000127 kWh, power : 32.5 W
[codecarbon INFO @ 09:13:30] Energy consumed for All CPU : 0.002159 kWh
[codecarbon INFO @ 09:13:30] Energy consumed for all GPUs : 0.000000 kWh. Total GPU Power : 0.0 W
[codecarbon INFO @ 09:13:30] 0.003488 kWh of electricity used since the beginning.</t>
  </si>
  <si>
    <t>2025-11-13T09:13:30,mlongt5-news-en-and-fr,fc7e6656-3ca4-43fc-af20-5b44a1072193,5b0fa12a-3dd7-45bb-9766-cc326314d9f1,239.21447350400558,0.0013288327581309832,5.554984774400501e-06,32.5,0.0,20.0,0.002159398276325808,0.0,0.0013288095150667178,0.0034882077913925267,Germany,DEU,bavaria,,,Linux-5.15.167.4-microsoft-standard-WSL2-x86_64-with-glibc2.35,3.11.9,3.0.7,8,Intel(R) Core(TM) i7-9700 CPU @ 3.00GHz,1.0,1 x NVIDIA GeForce GTX 1050 Ti,10.9842,49.8155,31.25782012939453,machine,N,1.0</t>
  </si>
  <si>
    <t>Processing took: 688.3538137000069
[codecarbon INFO @ 10:51:05] Energy consumed for RAM : 0.003817 kWh. RAM Power : 20.0 W
[codecarbon INFO @ 10:51:05] Delta energy consumed for CPU with constant : 0.000105 kWh, power : 32.5 W
[codecarbon INFO @ 10:51:05] Energy consumed for All CPU : 0.006202 kWh
[codecarbon INFO @ 10:51:05] 0.010019 kWh of electricity used since the beginning.</t>
  </si>
  <si>
    <t>2025-11-13T10:51:05,mlongt5-papers,ad0cfac8-70ea-4b46-b0d7-ed1bc47579ba,5b0fa12a-3dd7-45bb-9766-cc326314d9f1,687.0121650509973,0.003816618487214944,5.555387053345168e-06,32.5,0.0,20.0,0.006202114298972161,0.0,0.0038165718467554855,0.010018686145727639,Germany,DEU,bavaria,,,Linux-5.15.167.4-microsoft-standard-WSL2-x86_64-with-glibc2.35,3.11.9,3.0.7,8,Intel(R) Core(TM) i7-9700 CPU @ 3.00GHz,,,10.9842,49.8155,31.25782012939453,machine,N,1.0</t>
  </si>
  <si>
    <t>Processing took: 655.4812747079995
[codecarbon INFO @ 09:39:30] Energy consumed for RAM : 0.003634 kWh. RAM Power : 20.0 W
[codecarbon INFO @ 09:39:30] Delta energy consumed for CPU with constant : 0.000080 kWh, power : 32.5 W
[codecarbon INFO @ 09:39:30] Energy consumed for All CPU : 0.005905 kWh
[codecarbon INFO @ 09:39:30] Energy consumed for all GPUs : 0.000000 kWh. Total GPU Power : 0.0 W
[codecarbon INFO @ 09:39:30] 0.009538 kWh of electricity used since the beginning.</t>
  </si>
  <si>
    <t>2025-11-13T09:39:30,mlongt5-papers,d1d1f725-e31f-4490-afd8-f29dfa875e38,5b0fa12a-3dd7-45bb-9766-cc326314d9f1,654.1017391569985,0.0036335808075867618,5.55506978512195e-06,32.5,0.0,20.0,0.005904671226684038,0.0,0.003633538007038927,0.00953820923372296,Germany,DEU,bavaria,,,Linux-5.15.167.4-microsoft-standard-WSL2-x86_64-with-glibc2.35,3.11.9,3.0.7,8,Intel(R) Core(TM) i7-9700 CPU @ 3.00GHz,1.0,1 x NVIDIA GeForce GTX 1050 Ti,10.9842,49.8155,31.25782012939453,machine,N,1.0</t>
  </si>
  <si>
    <t xml:space="preserve">Processing took: 498.3852633899951
[codecarbon INFO @ 11:32:59] Energy consumed for RAM : 0.002761 kWh. RAM Power : 20.0 W
[codecarbon INFO @ 11:32:59] Delta energy consumed for CPU with constant : 0.000017 kWh, power : 32.5 W
[codecarbon INFO @ 11:32:59] Energy consumed for All CPU : 0.004487 kWh
[codecarbon INFO @ 11:32:59] 0.007248 kWh of electricity used since the beginning.
</t>
  </si>
  <si>
    <t>2025-11-13T11:32:59,mlongt5-school,911fb855-8363-4f5e-8d19-ca1fbf71004f,5b0fa12a-3dd7-45bb-9766-cc326314d9f1,497.0461267119972,0.00276126904474423,5.555357735126641e-06,32.5,0.0,20.0,0.004487146273368126,0.0,0.0027612302714388835,0.0072483765448070085,Germany,DEU,bavaria,,,Linux-5.15.167.4-microsoft-standard-WSL2-x86_64-with-glibc2.35,3.11.9,3.0.7,8,Intel(R) Core(TM) i7-9700 CPU @ 3.00GHz,,,10.9842,49.8155,31.25782012939453,machine,N,1.0</t>
  </si>
  <si>
    <t>Processing took: 499.1016737009995
[codecarbon INFO @ 09:56:37] Energy consumed for RAM : 0.002764 kWh. RAM Power : 20.0 W
[codecarbon INFO @ 09:56:37] Delta energy consumed for CPU with constant : 0.000015 kWh, power : 32.5 W
[codecarbon INFO @ 09:56:37] Energy consumed for All CPU : 0.004492 kWh
[codecarbon INFO @ 09:56:37] Energy consumed for all GPUs : 0.000000 kWh. Total GPU Power : 0.0 W
[codecarbon INFO @ 09:56:37] 0.007256 kWh of electricity used since the beginning.</t>
  </si>
  <si>
    <t>2025-11-13T09:56:37,mlongt5-school,7107ed9b-34f5-43f0-9c16-4aea3f935493,5b0fa12a-3dd7-45bb-9766-cc326314d9f1,497.64947281999775,0.002764325529909138,5.554764308790915e-06,32.5,0.0,20.0,0.004492104774083034,0.0,0.0027642950944276284,0.0072563998685106655,Germany,DEU,bavaria,,,Linux-5.15.167.4-microsoft-standard-WSL2-x86_64-with-glibc2.35,3.11.9,3.0.7,8,Intel(R) Core(TM) i7-9700 CPU @ 3.00GHz,1.0,1 x NVIDIA GeForce GTX 1050 Ti,10.9842,49.8155,31.25782012939453,machine,N,1.0</t>
  </si>
  <si>
    <t>Processing took: 189.40127383099752
[codecarbon INFO @ 11:42:09] Energy consumed for RAM : 0.001045 kWh. RAM Power : 20.0 W
[codecarbon INFO @ 11:42:09] Delta energy consumed for CPU with constant : 0.000072 kWh, power : 32.5 W
[codecarbon INFO @ 11:42:09] Energy consumed for All CPU : 0.001698 kWh
[codecarbon INFO @ 11:42:09] 0.002742 kWh of electricity used since the beginning.</t>
  </si>
  <si>
    <t>2025-11-13T11:42:09,mlongt5-web,dddf410b-7b10-4384-8151-a7e7c457247e,5b0fa12a-3dd7-45bb-9766-cc326314d9f1,188.04267977000563,0.0010446465740416326,5.555369532700429e-06,32.5,0.0,20.0,0.0016975813053604371,0.0,0.0010446330903388218,0.0027422143956992587,Germany,DEU,bavaria,,,Linux-5.15.167.4-microsoft-standard-WSL2-x86_64-with-glibc2.35,3.11.9,3.0.7,8,Intel(R) Core(TM) i7-9700 CPU @ 3.00GHz,,,10.9842,49.8155,31.25782012939453,machine,N,1.0</t>
  </si>
  <si>
    <t xml:space="preserve">Processing took: 193.52300111600198
[codecarbon INFO @ 10:24:45] Energy consumed for RAM : 0.001066 kWh. RAM Power : 20.0 W
[codecarbon INFO @ 10:24:45] Delta energy consumed for CPU with constant : 0.000108 kWh, power : 32.5 W
[codecarbon INFO @ 10:24:45] Energy consumed for All CPU : 0.001733 kWh
[codecarbon INFO @ 10:24:45] Energy consumed for all GPUs : 0.000000 kWh. Total GPU Power : 0.0 W
[codecarbon INFO @ 10:24:45] 0.002799 kWh of electricity used since the beginning.
</t>
  </si>
  <si>
    <t>2025-11-13T10:24:45,mlongt5-web,10bcab87-830d-455d-b046-d6cc1111c978,5b0fa12a-3dd7-45bb-9766-cc326314d9f1,191.96954274999734,0.0010664167997763048,5.555135385018359e-06,32.5,0.0,20.0,0.001732955164678404,0.0,0.0010664064307443673,0.0027993615954227716,Germany,DEU,bavaria,,,Linux-5.15.167.4-microsoft-standard-WSL2-x86_64-with-glibc2.35,3.11.9,3.0.7,8,Intel(R) Core(TM) i7-9700 CPU @ 3.00GHz,1.0,1 x NVIDIA GeForce GTX 1050 Ti,10.9842,49.8155,31.25782012939453,machine,N,1.0</t>
  </si>
  <si>
    <t xml:space="preserve">Processing took: 704.8360926099995
[codecarbon INFO @ 07:52:02] Energy consumed for RAM : 0.003908 kWh. RAM Power : 20.0 W
[codecarbon INFO @ 07:52:02] Delta energy consumed for CPU with constant : 0.000117 kWh, power : 32.5 W
[codecarbon INFO @ 07:52:02] Energy consumed for All CPU : 0.006351 kWh             
[codecarbon INFO @ 07:52:02] 0.010259 kWh of electricity used since the beginning.  </t>
  </si>
  <si>
    <t>2025-11-13T07:52:02,mistralnemo,7e3f8b53-5680-4d17-9daf-8d7a904d83d3,5b0fa12a-3dd7-45bb-9766-cc326314d9f1,703.4836608710029,0.0039081170662913,5.5553771660490175e-06,32.5,0.0,20.0,0.0063507888384055,0.0,0.0039080825785555,0.0102588714169611,Germany,DEU,bavaria,,,Linux-5.15.167.4-microsoft-standard-WSL2-x86_64-with-glibc2.39,3.12.3,3.0.7,8,Intel(R) Core(TM) i7-9700 CPU @ 3.00GHz,,,10.9842,49.8155,31.25782012939453,machine,N,1.0</t>
  </si>
  <si>
    <t>Processing took: 179.95903499000087
[codecarbon INFO @ 22:22:27] Energy consumed for RAM : 0.000992 kWh. RAM Power : 20.0 W
[codecarbon INFO @ 22:22:27] Energy consumed for All CPU : 0.001612 kWh
[codecarbon INFO @ 22:06:16] Energy consumed for all GPUs : 0.000000 kWh. Total GPU Power : 0.0 W
[codecarbon INFO @ 22:06:16] 0.002604 kWh of electricity used since the beginning.</t>
  </si>
  <si>
    <t>2025-11-12T22:06:16,mistralnemo,29eba719-4beb-4b8a-ac81-8b10a27fc746,5b0fa12a-3dd7-45bb-9766-cc326314d9f1,178.560923525999,0.0009919466750691,5.555228184764228e-06,32.5,0.0,20.0,0.0016119379879778,0.0,0.0009919383083055,0.0026038762962833,Germany,DEU,bavaria,,,Linux-5.15.167.4-microsoft-standard-WSL2-x86_64-with-glibc2.39,3.12.3,3.0.7,8,Intel(R) Core(TM) i7-9700 CPU @ 3.00GHz,1.0,1 x NVIDIA GeForce GTX 1050 Ti,10.9842,49.8155,31.25782012939453,machine,N,1.0</t>
  </si>
  <si>
    <t>Processing took: 369.6169304099967
[codecarbon INFO @ 07:03:55] Energy consumed for RAM : 0.002046 kWh. RAM Power : 20.0 W
[codecarbon INFO @ 07:03:55] Delta energy consumed for CPU with constant : 0.000072 kWh, power : 32.5 W 
[codecarbon INFO @ 07:03:55] Energy consumed for All CPU : 0.003324 kWh
[codecarbon INFO @ 07:03:55] 0.005370 kWh of electricity used since the beginning.</t>
  </si>
  <si>
    <t>2025-11-13T07:03:55,mistralnemo,40b7fc7b-892a-4bf0-8fa4-7c0f54c2c7ec,5b0fa12a-3dd7-45bb-9766-cc326314d9f1,368.2317830100001,0.0020456661770059,5.555376454156764e-06,32.5,0.0,20.0,0.0033242587766554,0.0,0.0020456484999055,0.005369907276561,Germany,DEU,bavaria,,,Linux-5.15.167.4-microsoft-standard-WSL2-x86_64-with-glibc2.39,3.12.3,3.0.7,8,Intel(R) Core(TM) i7-9700 CPU @ 3.00GHz,,,10.9842,49.8155,31.25782012939453,machine,N,1.0</t>
  </si>
  <si>
    <t>Processing took: 152.03654016699875
[codecarbon INFO @ 06:18:46] Energy consumed for RAM : 0.000837 kWh. RAM Power : 20.0 W
[codecarbon INFO @ 06:18:46] Delta energy consumed for CPU with constant : 0.000005 kWh, power : 32.5 W
[codecarbon INFO @ 06:18:46] Energy consumed for All CPU : 0.001360 kWh
[codecarbon INFO @ 06:18:46] Energy consumed for all GPUs : 0.000000 kWh. Total GPU Power : 0.0 W
[codecarbon INFO @ 06:18:46] 0.002197 kWh of electricity used since the beginning.</t>
  </si>
  <si>
    <t>2025-11-13T06:18:46,mistralnemo,e11efbc4-10a1-4feb-b61c-141097c0b298,5b0fa12a-3dd7-45bb-9766-cc326314d9f1,150.63574895200145,0.0008368020628764309,5.55513594016165e-06,32.5,0.0,20.0,0.001359825194298032,0.0,0.0008367939496222486,0.0021966191439202806,Germany,DEU,bavaria,,,Linux-5.15.167.4-microsoft-standard-WSL2-x86_64-with-glibc2.39,3.12.3,3.0.7,8,Intel(R) Core(TM) i7-9700 CPU @ 3.00GHz,1.0,1 x NVIDIA GeForce GTX 1050 Ti,10.9842,49.8155,31.25782012939453,machine,N,1.0</t>
  </si>
  <si>
    <t>Processing took: 1538.756546247001
[codecarbon INFO @ 07:29:44] Energy consumed for RAM : 0.008541 kWh. RAM Power : 20.0 W
[codecarbon INFO @ 07:29:44] Delta energy consumed for CPU with constant : 0.000056 kWh, power : 32.5 W
[codecarbon INFO @ 07:29:44] Energy consumed for All CPU : 0.013879 kWh
[codecarbon INFO @ 07:29:44] 0.022420 kWh of electricity used since the beginning.</t>
  </si>
  <si>
    <t>2025-11-13T07:29:44,mistralnemo,a32e17db-1e64-49ea-a4a5-b45a03208e02,5b0fa12a-3dd7-45bb-9766-cc326314d9f1,1537.400365749003,0.00854077481610104,5.555335491246665e-06,32.5,0.0,20.0,0.013878994695077765,0.0,0.008540679320150069,0.022419674015227823,Germany,DEU,bavaria,,,Linux-5.15.167.4-microsoft-standard-WSL2-x86_64-with-glibc2.39,3.12.3,3.0.7,8,Intel(R) Core(TM) i7-9700 CPU @ 3.00GHz,,,10.9842,49.8155,31.25782012939453,machine,N,1.0</t>
  </si>
  <si>
    <t>Processing took: 961.2001961909991
[codecarbon INFO @ 22:22:27] Energy consumed for RAM : 0.005332 kWh. RAM Power : 20.0 W
[codecarbon INFO @ 22:22:27] Delta energy consumed for CPU with constant : 0.000128 kWh, power : 32.5 W
[codecarbon INFO @ 22:22:27] Energy consumed for All CPU : 0.008665 kWh
[codecarbon INFO @ 22:22:27] Energy consumed for all GPUs : 0.000000 kWh. Total GPU Power : 0.0 W
[codecarbon INFO @ 22:22:27] 0.013997 kWh of electricity used since the beginning.</t>
  </si>
  <si>
    <t>2025-11-12T22:22:27,mistralnemo,e1f30e88-8b07-417e-a091-3feddac4f327,5b0fa12a-3dd7-45bb-9766-cc326314d9f1,959.8474933260004,0.0053320309007642,5.555081341399363e-06,32.5,0.0,20.0,0.0086646780569736,0.0,0.0053319905367111,0.0139966685936847,Germany,DEU,bavaria,,,Linux-5.15.167.4-microsoft-standard-WSL2-x86_64-with-glibc2.39,3.12.3,3.0.7,8,Intel(R) Core(TM) i7-9700 CPU @ 3.00GHz,1.0,1 x NVIDIA GeForce GTX 1050 Ti,10.9842,49.8155,31.25782012939453,machine,N,1.0</t>
  </si>
  <si>
    <t xml:space="preserve">Processing took: 1708.504030444994
[codecarbon INFO @ 08:20:41] Energy consumed for RAM : 0.009484 kWh. RAM Power : 20.0 W
[codecarbon INFO @ 08:20:41] Delta energy consumed for CPU with constant : 0.000098 kWh, power : 32.5 W
[codecarbon INFO @ 08:20:41] Energy consumed for All CPU : 0.015412 kWh
[codecarbon INFO @ 08:20:41] 0.024895 kWh of electricity used since the beginning.
</t>
  </si>
  <si>
    <t>2025-11-13T08:20:41,mistralnemo,0e7fe14b-4c89-4e0d-931d-ac5154ff43ea,5b0fa12a-3dd7-45bb-9766-cc326314d9f1,1707.1642936599965,0.009483905724052,5.555356188782185e-06,32.5,0.0,20.0,0.015411598277265,0.0,0.0094838098446722,0.0248954081219373,Germany,DEU,bavaria,,,Linux-5.15.167.4-microsoft-standard-WSL2-x86_64-with-glibc2.39,3.12.3,3.0.7,8,Intel(R) Core(TM) i7-9700 CPU @ 3.00GHz,,,10.9842,49.8155,31.25782012939453,machine,N,1.0</t>
  </si>
  <si>
    <t>Processing took: 339.32438441500017
[codecarbon INFO @ 21:55:42] Energy consumed for RAM : 0.001877 kWh. RAM Power : 20.0 W
[codecarbon INFO @ 21:55:42] Delta energy consumed for CPU with constant : 0.000070 kWh, power : 32.5 W
[codecarbon INFO @ 21:55:42] Energy consumed for All CPU : 0.003050 kWh
[codecarbon INFO @ 21:55:42] Energy consumed for all GPUs : 0.000000 kWh. Total GPU Power : 0.0 W
[codecarbon INFO @ 21:55:42] 0.004927 kWh of electricity used since the beginning.</t>
  </si>
  <si>
    <t>2025-11-12T21:55:42,mistralnemo,375e7ee0-4e82-45d5-bf70-f9e67ddac590,5b0fa12a-3dd7-45bb-9766-cc326314d9f1,337.8492843590002,0.001876821421233812,5.55520318710959e-06,32.5,0.0,20.0,0.003049883296299301,0.0,0.0018768037262333458,0.0049266870225326475,Germany,DEU,bavaria,,,Linux-5.15.167.4-microsoft-standard-WSL2-x86_64-with-glibc2.39,3.12.3,3.0.7,8,Intel(R) Core(TM) i7-9700 CPU @ 3.00GHz,1.0,1 x NVIDIA GeForce GTX 1050 Ti,10.9842,49.8155,31.25782012939453,machine,N,1.0</t>
  </si>
  <si>
    <t xml:space="preserve">Processing took: 1297.370953835998
[codecarbon INFO @ 08:42:28] Energy consumed for RAM : 0.007199 kWh. RAM Power : 20.0 W
[codecarbon INFO @ 08:42:28] Delta energy consumed for CPU with constant : 0.000044 kWh, power : 32.5 W
[codecarbon INFO @ 08:42:28] Energy consumed for All CPU : 0.011699 kWh
[codecarbon INFO @ 08:42:28] 0.018899 kWh of electricity used since the beginning.
</t>
  </si>
  <si>
    <t>2025-11-13T08:42:28,mistralnemo,b05c6aaf-5633-4e95-b13c-63129f6eb5d4,5b0fa12a-3dd7-45bb-9766-cc326314d9f1,1295.9717291050038,0.007199557542850335,5.555335337308892e-06,32.5,0.0,20.0,0.011699470246605607,0.0,0.007199486421855709,0.018898956668461305,Germany,DEU,bavaria,,,Linux-5.15.167.4-microsoft-standard-WSL2-x86_64-with-glibc2.39,3.12.3,3.0.7,8,Intel(R) Core(TM) i7-9700 CPU @ 3.00GHz,,,10.9842,49.8155,31.25782012939453,machine,N,1.0</t>
  </si>
  <si>
    <t>Processing took: 423.51624239899866
[codecarbon INFO @ 22:29:41] Energy consumed for RAM : 0.002345 kWh. RAM Power : 20.0 W
[codecarbon INFO @ 22:29:41] Delta energy consumed for CPU with constant : 0.000017 kWh, power : 32.5 W
[codecarbon INFO @ 22:29:41] Energy consumed for All CPU : 0.003811 kWh
[codecarbon INFO @ 22:29:41] Energy consumed for all GPUs : 0.000000 kWh. Total GPU Power : 0.0 W
[codecarbon INFO @ 22:29:41] 0.006156 kWh of electricity used since the beginning.</t>
  </si>
  <si>
    <t>2025-11-12T22:29:41,mistralnemo,ab579470-48a6-45f1-ada2-19e77a0f72a2,5b0fa12a-3dd7-45bb-9766-cc326314d9f1,422.13707057600004,0.002345075095542767,5.55524558016889e-06,32.5,0.0,20.0,0.003810799968200726,0.0,0.0023450606317277868,0.006155860599928513,Germany,DEU,bavaria,,,Linux-5.15.167.4-microsoft-standard-WSL2-x86_64-with-glibc2.39,3.12.3,3.0.7,8,Intel(R) Core(TM) i7-9700 CPU @ 3.00GHz,1.0,1 x NVIDIA GeForce GTX 1050 Ti,10.9842,49.8155,31.25782012939453,machine,N,1.0</t>
  </si>
  <si>
    <t>TS3/S3</t>
  </si>
  <si>
    <t>Processing took: 1.663230759000271
[codecarbon INFO @ 06:19:02] Energy consumed for RAM : 0.000001 kWh. RAM Power : 20.0 W
[codecarbon INFO @ 06:19:02] Delta energy consumed for CPU with constant : 0.000002 kWh, power : 32.5 W
[codecarbon INFO @ 06:19:02] Energy consumed for All CPU : 0.000002 kWh
[codecarbon INFO @ 06:19:02] 0.000002 kWh of electricity used since the beginning.</t>
  </si>
  <si>
    <t>2025-10-24T06:19:02,lexrank-emails,056ad041-ec04-4037-9110-07bafa99c280,5b0fa12a-3dd7-45bb-9766-cc326314d9f1,0.1696720509999068,9.406357564387965e-07,5.543846207406977e-06,32.5,0.0,20.0,1.529381154165637e-06,0.0,9.398031388880352e-07,2.4691842930536723e-06,Germany,DEU,bavaria,,,Linux-6.6.87.2-microsoft-standard-WSL2-x86_64-with-glibc2.41,3.9.24,3.0.7,16,AMD Ryzen 7 7700 8-Core Processor,,,10.9678,49.8472,30.90642547607422,machine,N,1.0</t>
  </si>
  <si>
    <t xml:space="preserve">Processing took: 1.6187089009999909
[codecarbon INFO @ 06:27:36] Energy consumed for RAM : 0.000001 kWh. RAM Power : 20.0 W
[codecarbon INFO @ 06:27:36] Delta energy consumed for CPU with constant : 0.000001 kWh, power : 32.5 W
[codecarbon INFO @ 06:27:36] Energy consumed for All CPU : 0.000001 kWh
[codecarbon INFO @ 06:27:36] 0.000002 kWh of electricity used since the beginning.
</t>
  </si>
  <si>
    <t>2025-10-24T06:27:36,lexrank-news-EN,12631753-559c-4821-a543-25a5e83d89fc,5b0fa12a-3dd7-45bb-9766-cc326314d9f1,0.1202843949999987,6.663480868862017e-07,5.539771695956142e-06,32.5,0.0,20.0,1.0841879659731528e-06,0.0,6.649866944447542e-07,1.749174660417907e-06,Germany,DEU,bavaria,,,Linux-6.6.87.2-microsoft-standard-WSL2-x86_64-with-glibc2.41,3.9.24,3.0.7,16,AMD Ryzen 7 7700 8-Core Processor,,,10.9678,49.8472,30.90642547607422,machine,N,1.0</t>
  </si>
  <si>
    <t>Processing took: 2.48021374200016
[codecarbon INFO @ 06:28:59] Energy consumed for RAM : 0.000006 kWh. RAM Power : 20.0 W
[codecarbon INFO @ 06:28:59] Delta energy consumed for CPU with constant : 0.000009 kWh, power : 32.5 W
[codecarbon INFO @ 06:28:59] Energy consumed for All CPU : 0.000009 kWh
[codecarbon INFO @ 06:28:59] 0.000015 kWh of electricity used since the beginning.</t>
  </si>
  <si>
    <t>2025-10-24T06:28:59,lexrank-papers-FR,a7efccf0-c206-49c6-b21a-8e8b00852d5a,5b0fa12a-3dd7-45bb-9766-cc326314d9f1,1.0106412969998928,5.613636148153996e-06,5.554528757946244e-06,32.5,0.0,20.0,9.123076904863109e-06,0.0,5.612810083334807e-06,1.4735886988197916e-05,Germany,DEU,bavaria,,,Linux-6.6.87.2-microsoft-standard-WSL2-x86_64-with-glibc2.41,3.9.24,3.0.7,16,AMD Ryzen 7 7700 8-Core Processor,,,10.9678,49.8472,30.90642547607422,machine,N,1.</t>
  </si>
  <si>
    <t>Processing took: 3.4072312620000957
[codecarbon INFO @ 06:29:36] Energy consumed for RAM : 0.000010 kWh. RAM Power : 20.0 W
[codecarbon INFO @ 06:29:36] Delta energy consumed for CPU with constant : 0.000017 kWh, power : 32.5 W
[codecarbon INFO @ 06:29:36] Energy consumed for All CPU : 0.000017 kWh
[codecarbon INFO @ 06:29:36] 0.000027 kWh of electricity used since the beginning.</t>
  </si>
  <si>
    <t>2025-10-24T06:29:36,lexrank-school-DE,a1fc373c-227d-4172-b5b1-4e04864b5074,5b0fa12a-3dd7-45bb-9766-cc326314d9f1,1.8606615339999732,1.0335545808785552e-05,5.554769430078249e-06,32.5,0.0,20.0,1.679624035555744e-05,0.0,1.0334736961112867e-05,2.7130977316670307e-05,Germany,DEU,bavaria,,,Linux-6.6.87.2-microsoft-standard-WSL2-x86_64-with-glibc2.41,3.9.24,3.0.7,16,AMD Ryzen 7 7700 8-Core Processor,,,10.9678,49.8472,30.90642547607422,machine,N,1.0</t>
  </si>
  <si>
    <t xml:space="preserve">Processing took: 1.7606556949999685
[codecarbon INFO @ 06:31:44] Energy consumed for RAM : 0.000002 kWh. RAM Power : 20.0 W
[codecarbon INFO @ 06:31:44] Delta energy consumed for CPU with constant : 0.000003 kWh, power : 32.5 W
[codecarbon INFO @ 06:31:44] Energy consumed for All CPU : 0.000003 kWh
[codecarbon INFO @ 06:31:44] 0.000005 kWh of electricity used since the beginning.
</t>
  </si>
  <si>
    <t>2025-10-24T06:31:44,lexrank-web-IT,513f8c02-26ba-47d7-9582-77d0c668c3d5,5b0fa12a-3dd7-45bb-9766-cc326314d9f1,0.30986544600000343,1.7195131672608773e-06,5.549225282966395e-06,32.5,0.0,20.0,2.7956057638874654e-06,0.0,1.718144511111556e-06,4.513750274999022e-06,Germany,DEU,bavaria,,,Linux-6.6.87.2-microsoft-standard-WSL2-x86_64-with-glibc2.41,3.9.24,3.0.7,16,AMD Ryzen 7 7700 8-Core Processor,,,10.9678,49.8472,30.90642547607422,machine,N,1.0</t>
  </si>
  <si>
    <t xml:space="preserve">Processing took: 198.38405784899987
[codecarbon INFO @ 06:39:00] Energy consumed for RAM : 0.001095 kWh. RAM Power : 20.0 W
[codecarbon INFO @ 06:39:00] Delta energy consumed for CPU with constant : 0.000018 kWh, power : 32.5 W
[codecarbon INFO @ 06:39:00] Energy consumed for All CPU : 0.001779 kWh
[codecarbon INFO @ 06:39:00] 0.002874 kWh of electricity used since the beginning.
</t>
  </si>
  <si>
    <t>2025-10-24T06:39:00,mlongt5-emails,e42e4828-83ff-4a73-b303-6e1ee816c1e1,5b0fa12a-3dd7-45bb-9766-cc326314d9f1,197.04580026800022,0.0010946640251517893,5.555378615849445e-06,32.5,0.0,20.0,0.0017788576601340243,0.0,0.0010946533653333316,0.0028735110254673557,Germany,DEU,bavaria,,,Linux-6.6.87.2-microsoft-standard-WSL2-x86_64-with-glibc2.35,3.11.9,3.0.7,16,AMD Ryzen 7 7700 8-Core Processor,,,10.9678,49.8472,30.90642547607422,machine,N,1.0</t>
  </si>
  <si>
    <t>Processing took: 60.45551371400143
[codecarbon INFO @ 08:49:22] Energy consumed for RAM : 0.000325 kWh. RAM Power : 20.0 W
[codecarbon INFO @ 08:49:22] Delta energy consumed for CPU with constant : 0.000123 kWh, power : 32.5 W     
[codecarbon INFO @ 08:49:22] Energy consumed for All CPU : 0.000529 kWh
[codecarbon INFO @ 08:49:22] Energy consumed for all GPUs : 0.000920 kWh. Total GPU Power : 83.78025294688533 W
[codecarbon INFO @ 08:49:22] 0.001775 kWh of electricity used since the beginning.</t>
  </si>
  <si>
    <t>2025-10-24T08:49:22,mlongt5-emails,0db64545-a81f-4eff-95b9-58190b24e27c,5b0fa12a-3dd7-45bb-9766-cc326314d9f1,58.59506491799948,0.000676095406139925,1.1538435994329604e-05,32.5,83.78025294688533,20.0,0.0005289448086000057,0.0009203190695879979,0.0003254976551888831,0.0017747615333768866,Germany,DEU,bavaria,,,Linux-6.6.87.2-microsoft-standard-WSL2-x86_64-with-glibc2.41,3.9.24,3.0.7,16,AMD Ryzen 7 7700 8-Core Processor,1.0,1 x NVIDIA GeForce RTX 5070 Ti,10.9678,49.8472,30.90642547607422,machine,N,1.0</t>
  </si>
  <si>
    <t>Processing took: 141.4314382800003
[codecarbon INFO @ 06:52:36] Energy consumed for RAM : 0.000778 kWh. RAM Power : 20.0 W
[codecarbon INFO @ 06:52:36] Delta energy consumed for CPU with constant : 0.000046 kWh, power : 32.5 W
[codecarbon INFO @ 06:52:36] Energy consumed for All CPU : 0.001265 kWh
[codecarbon INFO @ 06:52:36] 0.002043 kWh of electricity used since the beginning.</t>
  </si>
  <si>
    <t>2025-10-24T06:52:36,mlongt5-news-en-and-fr,3ba8093e-bb09-49a9-9e60-d91504ee5c93,5b0fa12a-3dd7-45bb-9766-cc326314d9f1,140.12147189799998,0.0007784305662528893,5.555398153535955e-06,32.5,0.0,20.0,0.0012649687003867933,0.0,0.0007784243072333387,0.002043393007620132,Germany,DEU,bavaria,,,Linux-6.6.87.2-microsoft-standard-WSL2-x86_64-with-glibc2.35,3.11.9,3.0.7,16,AMD Ryzen 7 7700 8-Core Processor,,,10.9678,49.8472,30.90642547607422,machine,N,1.0</t>
  </si>
  <si>
    <t>Processing took: 49.98626539099996
[codecarbon INFO @ 12:56:05] Energy consumed for RAM : 0.000269 kWh. RAM Power : 20.0 W
[codecarbon INFO @ 12:56:05] Delta energy consumed for CPU with constant : 0.000031 kWh, power : 32.5 W
[codecarbon INFO @ 12:56:05] Energy consumed for All CPU : 0.000437 kWh
[codecarbon INFO @ 12:56:05] Energy consumed for all GPUs : 0.000670 kWh. Total GPU Power : 83.35191276989345 W
[codecarbon INFO @ 12:56:05] 0.001376 kWh of electricity used since the beginning.</t>
  </si>
  <si>
    <t>2025-10-24T12:56:05,mlongt5-news-en-and-fr,9e57573f-1274-4714-a851-4b14eac9a703,5b0fa12a-3dd7-45bb-9766-cc326314d9f1,48.457534693999946,0.0005243263069111267,1.0820325677361569e-05,32.5,83.35191276989345,20.0,0.00043743043462083313,0.0006697544246920002,0.0002691802986111112,0.0013763651579239446,Germany,DEU,bavaria,,,Linux-6.6.87.2-microsoft-standard-WSL2-x86_64-with-glibc2.41,3.9.24,3.0.7,16,AMD Ryzen 7 7700 8-Core Processor,1.0,1 x NVIDIA GeForce RTX 5070 Ti,10.9678,49.8472,30.906421661376953,machine,N,1.0</t>
  </si>
  <si>
    <t>Processing took: 670.1445922570001
[codecarbon INFO @ 07:21:14] Energy consumed for RAM : 0.003716 kWh. RAM Power : 20.0 W
[codecarbon INFO @ 07:21:14] Delta energy consumed for CPU with constant : 0.000079 kWh, power : 32.5 W
[codecarbon INFO @ 07:21:14] Energy consumed for All CPU : 0.006038 kWh
[codecarbon INFO @ 07:21:14] 0.009754 kWh of electricity used since the beginning.</t>
  </si>
  <si>
    <t>2025-10-24T07:21:14,mlongt5-papers,897769ea-ce03-4b19-a348-2206c43c981a,5b0fa12a-3dd7-45bb-9766-cc326314d9f1,668.8328616469998,0.003715642380336556,5.55541241078794e-06,32.5,0.0,20.0,0.006038001476722246,0.0,0.003715620731800017,0.009753622208522262,Germany,DEU,bavaria,,,Linux-6.6.87.2-microsoft-standard-WSL2-x86_64-with-glibc2.35,3.11.9,3.0.7,16,AMD Ryzen 7 7700 8-Core Processor,,,10.9678,49.8472,30.90642547607422,machine,N,1.0</t>
  </si>
  <si>
    <t>Processing took: 50.06365176899999
[codecarbon INFO @ 12:59:33] Energy consumed for RAM : 0.000270 kWh. RAM Power : 20.0 W
[codecarbon INFO @ 12:59:33] Delta energy consumed for CPU with constant : 0.000032 kWh, power : 32.5 W
[codecarbon INFO @ 12:59:33] Energy consumed for All CPU : 0.000438 kWh
[codecarbon INFO @ 12:59:33] Energy consumed for all GPUs : 0.001173 kWh. Total GPU Power : 157.8226924756114 W
[codecarbon INFO @ 12:59:33] 0.001881 kWh of electricity used since the beginning.</t>
  </si>
  <si>
    <t>2025-10-24T12:59:33,mlongt5-papers,5f17672f-6a49-45df-976e-9eb5c981f8c6,5b0fa12a-3dd7-45bb-9766-cc326314d9f1,48.52409287099999,0.0007164767529126235,1.4765381700537046e-05,32.5,157.8226924756114,20.0,0.00043803285104583324,0.0011731787163199985,0.00026955166379999965,0.0018807632311658314,Germany,DEU,bavaria,,,Linux-6.6.87.2-microsoft-standard-WSL2-x86_64-with-glibc2.41,3.9.24,3.0.7,16,AMD Ryzen 7 7700 8-Core Processor,1.0,1 x NVIDIA GeForce RTX 5070 Ti,10.9678,49.8472,30.906421661376953,machine,N,1.0</t>
  </si>
  <si>
    <t>Processing took: 295.15022957200017
[codecarbon INFO @ 07:28:07] Energy consumed for RAM : 0.001632 kWh. RAM Power : 20.0 W
[codecarbon INFO @ 07:28:07] Delta energy consumed for CPU with constant : 0.000080 kWh, power : 32.5 W
[codecarbon INFO @ 07:28:07] Energy consumed for All CPU : 0.002653 kWh
[codecarbon INFO @ 07:28:07] 0.004285 kWh of electricity used since the beginning.</t>
  </si>
  <si>
    <t>2025-10-24T07:28:07,mlongt5-school,42a60718-8855-467b-976a-92934bd613f1,5b0fa12a-3dd7-45bb-9766-cc326314d9f1,293.84007224000015,0.0016323895761598587,5.555367461339887e-06,32.5,0.0,20.0,0.002652680608256262,0.0,0.0016323688107222347,0.004285049418978498,Germany,DEU,bavaria,,,Linux-6.6.87.2-microsoft-standard-WSL2-x86_64-with-glibc2.35,3.11.9,3.0.7,16,AMD Ryzen 7 7700 8-Core Processor,,,10.9678,49.8472,30.90642547607422,machine,N,1.0</t>
  </si>
  <si>
    <t>Processing took: 78.12592505299995
[codecarbon INFO @ 13:06:01] Energy consumed for RAM : 0.000426 kWh. RAM Power : 20.0 W
[codecarbon INFO @ 13:06:01] Delta energy consumed for CPU with constant : 0.000014 kWh, power : 32.5 W
[codecarbon INFO @ 13:06:01] Energy consumed for All CPU : 0.000691 kWh
[codecarbon INFO @ 13:06:01] Energy consumed for all GPUs : 0.001429 kWh. Total GPU Power : 100.1677400694943 W
[codecarbon INFO @ 13:06:01] 0.002546 kWh of electricity used since the beginning.</t>
  </si>
  <si>
    <t>2025-10-24T13:06:01,mlongt5-school,36f407c9-c1d6-46e0-859c-36431149987d,5b0fa12a-3dd7-45bb-9766-cc326314d9f1,76.6022366430002,0.0009697714326737216,1.2659831816573178e-05,32.5,100.1677400694943,20.0,0.0006914997915854155,0.0014286408651339993,0.00042552526446111187,0.0025456659211805267,Germany,DEU,bavaria,,,Linux-6.6.87.2-microsoft-standard-WSL2-x86_64-with-glibc2.41,3.9.24,3.0.7,16,AMD Ryzen 7 7700 8-Core Processor,1.0,1 x NVIDIA GeForce RTX 5070 Ti,10.9678,49.8472,30.906421661376953,machine,N,1.0</t>
  </si>
  <si>
    <t>Processing took: 110.61737911100045
[codecarbon INFO @ 07:41:29] Energy consumed for RAM : 0.000607 kWh. RAM Power : 20.0 W
[codecarbon INFO @ 07:41:29] Delta energy consumed for CPU with constant : 0.000039 kWh, power : 32.5 W
[codecarbon INFO @ 07:41:29] Energy consumed for All CPU : 0.000987 kWh
[codecarbon INFO @ 07:41:29] 0.001594 kWh of electricity used since the beginning.</t>
  </si>
  <si>
    <t>2025-10-24T07:41:29,mlongt5-web,5286eef2-3aa1-48e8-983e-8b5ff8f3ed6f,5b0fa12a-3dd7-45bb-9766-cc326314d9f1,109.31054282500008,0.0006072553362841167,5.555322666874848e-06,32.5,0.0,20.0,0.0009868092988631692,0.0,0.0006072459217277659,0.0015940552205909349,Germany,DEU,bavaria,,,Linux-6.6.87.2-microsoft-standard-WSL2-x86_64-with-glibc2.35,3.11.9,3.0.7,16,AMD Ryzen 7 7700 8-Core Processor,,,10.9678,49.8472,30.90642547607422,machine,N,1.0</t>
  </si>
  <si>
    <t>Processing took: 40.18666088500004
[codecarbon INFO @ 13:11:08] Energy consumed for RAM : 0.000215 kWh. RAM Power : 20.0 W
[codecarbon INFO @ 13:11:08] Delta energy consumed for CPU with constant : 0.000078 kWh, power : 32.5 W
[codecarbon INFO @ 13:11:08] Energy consumed for All CPU : 0.000349 kWh
[codecarbon INFO @ 13:11:08] Energy consumed for all GPUs : 0.000501 kWh. Total GPU Power : 93.22020631174598 W
[codecarbon INFO @ 13:11:08] 0.001064 kWh of electricity used since the beginning.</t>
  </si>
  <si>
    <t>2025-10-24T13:11:08,mlongt5-web,2a8af369-1842-404a-8041-550b22244356,5b0fa12a-3dd7-45bb-9766-cc326314d9f1,38.65428666400021,0.00040540596964380553,1.0487995113395047e-05,32.5,93.22020631174598,20.0,0.0003489343520451392,0.0005005390115419978,0.00021472395796111213,0.0010641973215482492,Germany,DEU,bavaria,,,Linux-6.6.87.2-microsoft-standard-WSL2-x86_64-with-glibc2.41,3.9.24,3.0.7,16,AMD Ryzen 7 7700 8-Core Processor,1.0,1 x NVIDIA GeForce RTX 5070 Ti,10.9678,49.8472,30.906421661376953,machine,N,1.0</t>
  </si>
  <si>
    <t xml:space="preserve">Processing took: 417.53588007099825
[codecarbon INFO @ 10:57:19] Energy consumed for RAM : 0.002312 kWh. RAM Power : 20.0 W 
[codecarbon INFO @ 10:57:19] Delta energy consumed for CPU with constant : 0.000101 kWh, power : 32.5 W 
[codecarbon INFO @ 10:57:19] Energy consumed for All CPU : 0.003757 kWh                 
[codecarbon INFO @ 10:57:19] 0.006070 kWh of electricity used since the beginning.       </t>
  </si>
  <si>
    <t>2025-10-24T10:57:19,mistralnemo,d257acbc-cf61-477a-81db-cc53441edace,5b0fa12a-3dd7-45bb-9766-cc326314d9f1,416.20743648200005,0.0023122081598335284,5.555422506088561e-06,32.5,0.0,20.0,0.0037573893924485896,0.0,0.0023121949620166357,0.006069584354465227,Germany,DEU,bavaria,,,Linux-6.6.87.2-microsoft-standard-WSL2-x86_64-with-glibc2.39,3.12.3,3.0.7,16,AMD Ryzen 7 7700 8-Core Processor,,,10.9678,49.8472,30.90642547607422,machine,N,1.0</t>
  </si>
  <si>
    <t xml:space="preserve">Processing took: 9.59942465900167
[codecarbon INFO @ 12:21:43] Energy consumed for RAM : 0.000046 kWh. RAM Power : 20.0 W                            
[codecarbon INFO @ 12:21:43] Delta energy consumed for CPU with constant : 0.000075 kWh, power : 32.5 W            
[codecarbon INFO @ 12:21:43] Energy consumed for All CPU : 0.000075 kWh                                            
[codecarbon INFO @ 12:21:43] Energy consumed for all GPUs : 0.000434 kWh. Total GPU Power : 188.69647082230634 W   
[codecarbon INFO @ 12:21:43] 0.000555 kWh of electricity used since the beginning.                                                        
</t>
  </si>
  <si>
    <t>2025-10-24T12:21:43,mistralnemo,cc1265c6-2600-4791-be7a-cda16d9c189b,5b0fa12a-3dd7-45bb-9766-cc326314d9f1,8.280481925001368,0.0002113294633852,2.5521396616688265e-05,32.5,188.6964708223064,20.0,7.474843845625401e-05,0.0004339978471979,4.5997022877782005e-05,0.000554743308532,Germany,DEU,bavaria,,,Linux-6.6.87.2-microsoft-standard-WSL2-x86_64-with-glibc2.39,3.12.3,3.0.7,16,AMD Ryzen 7 7700 8-Core Processor,1.0,1 x NVIDIA GeForce RTX 5070 Ti,10.9678,49.8472,30.90642547607422,machine,N,1.0</t>
  </si>
  <si>
    <t xml:space="preserve">Processing took: 203.13048774299932
[codecarbon INFO @ 09:15:47] Energy consumed for RAM : 0.001121 kWh. RAM Power : 20.0 W 
[codecarbon INFO @ 09:15:47] Delta energy consumed for CPU with constant : 0.000062 kWh, power : 32.5 W
[codecarbon INFO @ 09:15:47] Energy consumed for All CPU : 0.001822 kWh
[codecarbon INFO @ 09:15:47] 0.002943 kWh of electricity used since the beginning. </t>
  </si>
  <si>
    <t>2025-10-24T09:15:47,mistralnemo,7e5fce14-c5af-4c49-aa7d-e4b4ec628877,5b0fa12a-3dd7-45bb-9766-cc326314d9f1,201.82499284099868,0.0011212242732796,5.555428282179703e-06,32.5,0.0,20.0,0.0018220132021541,0.0,0.0011212189104055,0.0029432321125596,Germany,DEU,bavaria,,,Linux-6.6.87.2-microsoft-standard-WSL2-x86_64-with-glibc2.39,3.12.3,3.0.7,16,AMD Ryzen 7 7700 8-Core Processor,,,10.9678,49.8472,30.90642547607422,machine,N,1.0</t>
  </si>
  <si>
    <t>Processing took: 7.939404450000438 
[codecarbon INFO @ 08:32:53] Energy consumed for RAM : 0.000037 kWh. RAM Power : 20.0 W                    
[codecarbon INFO @ 08:32:53] Delta energy consumed for CPU with constant : 0.000060 kWh, power : 32.5 W    
[codecarbon INFO @ 08:32:53] Energy consumed for All CPU : 0.000060 kWh                                    
[codecarbon INFO @ 08:32:53] Energy consumed for all GPUs : 0.000346 kWh. Total GPU Power : 188.40227857083727 W
[codecarbon INFO @ 08:32:53] 0.000442 kWh of electricity used since the beginning.</t>
  </si>
  <si>
    <t>2025-10-24T08:32:53,mistralnemo,8b428ee6-7747-4034-b692-94ce08509d7e,5b0fa12a-3dd7-45bb-9766-cc326314d9f1,6.611927619000198,0.0001685379856861,2.548999254043204e-05,32.5,188.40227857083727,20.0,5.968549772430707e-05,0.0003460016656899,3.672781410555722e-05,0.0004424149775198,Germany,DEU,bavaria,,,Linux-6.6.87.2-microsoft-standard-WSL2-x86_64-with-glibc2.39,3.12.3,3.0.7,16,AMD Ryzen 7 7700 8-Core Processor,1,1 x NVIDIA GeForce RTX 5070 Ti,10.9678,49.8472,30.90642547607422,machine,N,1.0</t>
  </si>
  <si>
    <t xml:space="preserve">Processing took: 853.1264836749997
[codecarbon INFO @ 09:49:48] Energy consumed for RAM : 0.004732 kWh. RAM Power : 20.0 W 
[codecarbon INFO @ 09:49:48] Delta energy consumed for CPU with constant : 0.000106 kWh, power : 32.5 W 
[codecarbon INFO @ 09:49:48] Energy consumed for All CPU : 0.007690 kWh                 
[codecarbon INFO @ 09:49:48] 0.012422 kWh of electricity used since the beginning.                                                      
</t>
  </si>
  <si>
    <t>2025-10-24T09:49:48,mistralnemo,c45e51aa-5e2b-4c58-9ebe-68116bef281e,5b0fa12a-3dd7-45bb-9766-cc326314d9f1,851.8218466540002,0.004732231229445093,5.555423646427407e-06,32.5,0.0,20.0,0.00768997852765275,0.0,0.004732206088294464,0.012422184615947218,Germany,DEU,bavaria,,,Linux-6.6.87.2-microsoft-standard-WSL2-x86_64-with-glibc2.39,3.12.3,3.0.7,16,AMD Ryzen 7 7700 8-Core Processor,,,10.9678,49.8472,30.90642547607422,machine,N,1.0</t>
  </si>
  <si>
    <t xml:space="preserve">Processing took: 16.483709479000026
[codecarbon INFO @ 08:34:23] Energy consumed for RAM : 0.000084 kWh. RAM Power : 20.0 W                    
[codecarbon INFO @ 08:34:23] Delta energy consumed for CPU with constant : 0.000001 kWh, power : 32.5 W    
[codecarbon INFO @ 08:34:23] Energy consumed for All CPU : 0.000137 kWh                                    
[codecarbon INFO @ 08:34:23] Energy consumed for all GPUs : 0.000940 kWh. Total GPU Power : 149.40040459425938 W 
[codecarbon INFO @ 08:34:23] 0.001161 kWh of electricity used since the beginning.                         </t>
  </si>
  <si>
    <t>2025-10-24T08:34:23,mistralnemo,a2624266-e3ca-4ac4-a4b5-d77861e97e60,5b0fa12a-3dd7-45bb-9766-cc326314d9f1,15.142646393000177,0.000442319137105997,2.9210160867948614e-05,32.5,149.40040459425938,20.0,0.00013669191565071138,0.0009402876966739977,8.411537942223124e-05,0.0011610949917469405,Germany,DEU,bavaria,,,Linux-6.6.87.2-microsoft-standard-WSL2-x86_64-with-glibc2.39,3.12.3,3.0.7,16,AMD Ryzen 7 7700 8-Core Processor,1,1 x NVIDIA GeForce RTX 5070 Ti,10.9678,49.8472,30.90642547607422,machine,N,1.0</t>
  </si>
  <si>
    <t xml:space="preserve">Processing took: 994.4059026810028
[codecarbon INFO @ 11:14:04] Energy consumed for RAM : 0.005517 kWh. RAM Power : 20.0 W 
[codecarbon INFO @ 11:14:04] Delta energy consumed for CPU with constant : 0.000028 kWh, power : 32.5 W
[codecarbon INFO @ 11:14:04] Energy consumed for All CPU : 0.008965 kWh                 
[codecarbon INFO @ 11:14:04] 0.014482 kWh of electricity used since the beginning.  </t>
  </si>
  <si>
    <t>2025-10-24T11:14:04,mistralnemo,8419e1a7-9410-4187-928b-ad6f2b41303e,5b0fa12a-3dd7-45bb-9766-cc326314d9f1,993.0900184620004,0.005517023440557774,5.555411229590237e-06,32.5,0.0,20.0,0.00896529452781801,0.0,0.0055169825178776775,0.014482277045695692,Germany,DEU,bavaria,,,Linux-6.6.87.2-microsoft-standard-WSL2-x86_64-with-glibc2.39,3.12.3,3.0.7,16,AMD Ryzen 7 7700 8-Core Processor,,,10.9678,49.8472,30.90642547607422,machine,N,1.0</t>
  </si>
  <si>
    <t xml:space="preserve">Processing took: 45.646572687001026
[codecarbon INFO @ 12:22:39] Energy consumed for RAM : 0.000246 kWh. RAM Power : 20.0 W                            
[codecarbon INFO @ 12:22:39] Delta energy consumed for CPU with constant : 0.000129 kWh, power : 32.5 W            
[codecarbon INFO @ 12:22:39] Energy consumed for All CPU : 0.000400 kWh                                            
[codecarbon INFO @ 12:22:39] Energy consumed for all GPUs : 0.002543 kWh. Total GPU Power : 209.54036401147076 W   
[codecarbon INFO @ 12:22:39] 0.003189 kWh of electricity used since the beginning.                                 </t>
  </si>
  <si>
    <t>2025-10-24T12:22:39,mistralnemo,c4898623-32d6-4bb6-969b-002e3cfe8914,5b0fa12a-3dd7-45bb-9766-cc326314d9f1,44.34551929699956,0.0012150028538609,2.739854833413128e-05,32.5,209.5403640114708,20.0,0.000400323789468,0.00254272981196,0.0002463488237222,0.0031894024251502,Germany,DEU,bavaria,,,Linux-6.6.87.2-microsoft-standard-WSL2-x86_64-with-glibc2.39,3.12.3,3.0.7,16,AMD Ryzen 7 7700 8-Core Processor,1.0,1 x NVIDIA GeForce RTX 5070 Ti,10.9678,49.8472,30.90642547607422,machine,N,1.0</t>
  </si>
  <si>
    <t>Processing took: 688.6956194810009
[codecarbon INFO @ 12:07:52] Energy consumed for RAM : 0.003819 kWh. RAM Power : 20.0 W 
[codecarbon INFO @ 12:07:52] Delta energy consumed for CPU with constant : 0.000112 kWh, power : 32.5 W
[codecarbon INFO @ 12:07:52] Energy consumed for All CPU : 0.006205 kWh                 
[codecarbon INFO @ 12:07:52] 0.010024 kWh of electricity used since the beginning.</t>
  </si>
  <si>
    <t>2025-10-24T12:07:52,mistralnemo-,85e0d344-bda0-4172-a0ed-a7fb17365829,5b0fa12a-3dd7-45bb-9766-cc326314d9f1,687.3730330520011,0.0038186448431089,5.5554184692899065e-06,32.5,0.0,20.0,0.0062053848966055,0.0,0.0038186204665888,0.0100240053631944,Germany,DEU,bavaria,,,Linux-6.6.87.2-microsoft-standard-WSL2-x86_64-with-glibc2.39,3.12.3,3.0.7,16,AMD Ryzen 7 7700 8-Core Processor,,,10.9678,49.8472,30.90642547607422,machine,N,1.0</t>
  </si>
  <si>
    <t xml:space="preserve">Processing took: 16.974249656999746
[codecarbon INFO @ 12:25:17] Energy consumed for RAM : 0.000087 kWh. RAM Power : 20.0 W                           
[codecarbon INFO @ 12:25:17] Delta energy consumed for CPU with constant : 0.000006 kWh, power : 32.5 W           
[codecarbon INFO @ 12:25:17] Energy consumed for All CPU : 0.000141 kWh                                           
[codecarbon INFO @ 12:25:17] Energy consumed for all GPUs : 0.000897 kWh. Total GPU Power : 202.35643389222045 W  
[codecarbon INFO @ 12:25:17] 0.001125 kWh of electricity used since the beginning.                                </t>
  </si>
  <si>
    <t>2025-10-24T12:25:17,mistralnemo,af24dd51-e6f5-4097-b60e-57e211070f58,5b0fa12a-3dd7-45bb-9766-cc326314d9f1,15.643080289999489,0.00042856116946968616,2.739621363087053e-05,32.5,202.35643389222045,20.0,0.00014119161574375187,0.0008969046064120079,8.688387882779758e-05,0.0011249801009835573,Germany,DEU,bavaria,,,Linux-6.6.87.2-microsoft-standard-WSL2-x86_64-with-glibc2.39,3.12.3,3.0.7,16,AMD Ryzen 7 7700 8-Core Processor,1.0,1 x NVIDIA GeForce RTX 5070 Ti,10.9678,49.8472,30.90642547607422,machine,N,1.0</t>
  </si>
  <si>
    <t xml:space="preserve">Processing took: 71435.42540539999
[codecarbon INFO @ 17:30:40] Energy consumed for RAM : 0.396795 kWh. RAM Power : 20.0 W 
[codecarbon INFO @ 17:30:40] Delta energy consumed for CPU with constant : 0.001015 kWh, power : 260.0 W 
[codecarbon INFO @ 17:30:40] Energy consumed for All CPU : 5.158466 kWh 
[codecarbon INFO @ 17:30:40] Energy consumed for all GPUs : 0.000000 kWh. Total GPU Power : 0.0 W 
[codecarbon INFO @ 17:30:40] 5.555261 kWh of electricity used since the beginning. </t>
  </si>
  <si>
    <t>2026-01-07T17:30:40,mixtral,bab8f5f5-12a2-46ae-823c-ef67a62b9858,5b0fa12a-3dd7-45bb-9766-cc326314d9f1,71432.7083403,2.1162766037610594,2.962615660152879e-05,260.0,0.0,20.0,5.158466053000027,0.0,0.3967947522527783,5.555260805252813,Germany,DEU,bavaria,,,Windows-11-10.0.26200-SP0,3.13.2,3.0.7,8,Intel(R) Core(TM) i7-9700 CPU @ 3.00GHz,1,1 x NVIDIA GeForce GTX 1050 Ti,10.9545,49.9282,63.81718826293945,machine,N,1.0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</si>
</sst>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1" fillId="0" borderId="1" xfId="1"/>
    <xf numFmtId="0" fontId="1" fillId="0" borderId="1" xfId="1" applyFill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Ergebnis" xfId="1" builtinId="2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A777-CF04-4C7B-A34F-611A2B3B8ABF}">
  <dimension ref="A1:S146"/>
  <sheetViews>
    <sheetView tabSelected="1" topLeftCell="A109" workbookViewId="0">
      <selection activeCell="J116" sqref="J116:S118"/>
    </sheetView>
  </sheetViews>
  <sheetFormatPr baseColWidth="10" defaultColWidth="9.140625" defaultRowHeight="15" x14ac:dyDescent="0.25"/>
  <cols>
    <col min="1" max="1" width="38.140625" bestFit="1" customWidth="1"/>
    <col min="2" max="2" width="8.140625" bestFit="1" customWidth="1"/>
    <col min="3" max="3" width="15.140625" bestFit="1" customWidth="1"/>
    <col min="4" max="4" width="10.140625" bestFit="1" customWidth="1"/>
    <col min="5" max="5" width="7.28515625" bestFit="1" customWidth="1"/>
    <col min="6" max="6" width="9.140625" bestFit="1" customWidth="1"/>
    <col min="7" max="7" width="22.85546875" bestFit="1" customWidth="1"/>
    <col min="8" max="8" width="22.28515625" bestFit="1" customWidth="1"/>
    <col min="9" max="9" width="33.140625" bestFit="1" customWidth="1"/>
    <col min="10" max="10" width="18.28515625" bestFit="1" customWidth="1"/>
    <col min="11" max="11" width="16.85546875" bestFit="1" customWidth="1"/>
    <col min="12" max="12" width="16.28515625" bestFit="1" customWidth="1"/>
    <col min="13" max="13" width="13.85546875" bestFit="1" customWidth="1"/>
    <col min="14" max="14" width="16.42578125" bestFit="1" customWidth="1"/>
    <col min="15" max="15" width="14" bestFit="1" customWidth="1"/>
    <col min="16" max="16" width="16.42578125" bestFit="1" customWidth="1"/>
    <col min="17" max="17" width="14" bestFit="1" customWidth="1"/>
    <col min="19" max="19" width="255.7109375" bestFit="1" customWidth="1"/>
  </cols>
  <sheetData>
    <row r="1" spans="1:19" s="1" customFormat="1" ht="1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thickTop="1" x14ac:dyDescent="0.25">
      <c r="A2" t="s">
        <v>19</v>
      </c>
      <c r="B2" t="s">
        <v>20</v>
      </c>
      <c r="C2" t="s">
        <v>21</v>
      </c>
      <c r="D2" s="3">
        <v>45915</v>
      </c>
      <c r="E2" t="s">
        <v>22</v>
      </c>
      <c r="F2" t="s">
        <v>23</v>
      </c>
      <c r="G2" t="str">
        <f>"/code/"&amp;"NLG-"&amp;E2&amp;"/markov"</f>
        <v>/code/NLG-S1/markov</v>
      </c>
      <c r="H2" t="s">
        <v>24</v>
      </c>
      <c r="I2" t="str">
        <f>"/output/"&amp;B2&amp;"/"&amp;C2&amp;"/"&amp;F2</f>
        <v>/output/NLG/S1/Markov/CPU</v>
      </c>
      <c r="J2">
        <v>4984.2015293429904</v>
      </c>
      <c r="K2">
        <v>2.7406E-2</v>
      </c>
      <c r="L2">
        <v>1.9377999999999999E-2</v>
      </c>
      <c r="M2">
        <v>14</v>
      </c>
      <c r="N2" t="s">
        <v>25</v>
      </c>
      <c r="O2" t="s">
        <v>25</v>
      </c>
      <c r="P2">
        <v>8.0280000000000004E-3</v>
      </c>
      <c r="Q2">
        <v>5.8044347763061497</v>
      </c>
      <c r="R2" s="4" t="s">
        <v>26</v>
      </c>
      <c r="S2" t="s">
        <v>27</v>
      </c>
    </row>
    <row r="3" spans="1:19" ht="15" customHeight="1" x14ac:dyDescent="0.25">
      <c r="A3" t="s">
        <v>19</v>
      </c>
      <c r="B3" t="s">
        <v>20</v>
      </c>
      <c r="C3" t="s">
        <v>28</v>
      </c>
      <c r="D3" s="3">
        <v>45915</v>
      </c>
      <c r="E3" t="s">
        <v>22</v>
      </c>
      <c r="F3" t="s">
        <v>23</v>
      </c>
      <c r="G3" t="str">
        <f>"/code/"&amp;"NLG-"&amp;E3&amp;"/markov"</f>
        <v>/code/NLG-S1/markov</v>
      </c>
      <c r="H3" t="s">
        <v>24</v>
      </c>
      <c r="I3" t="str">
        <f t="shared" ref="I3:I65" si="0">"/output/"&amp;B3&amp;"/"&amp;C3&amp;"/"&amp;F3</f>
        <v>/output/NLG/S1/Markov-OneWord/CPU</v>
      </c>
      <c r="J3">
        <v>2263.8543004580001</v>
      </c>
      <c r="K3">
        <v>1.2447E-2</v>
      </c>
      <c r="L3">
        <v>8.8009999999999998E-3</v>
      </c>
      <c r="M3">
        <v>14</v>
      </c>
      <c r="N3" t="s">
        <v>25</v>
      </c>
      <c r="O3" t="s">
        <v>25</v>
      </c>
      <c r="P3">
        <v>3.6449999999999998E-3</v>
      </c>
      <c r="Q3">
        <v>5.8044347763061497</v>
      </c>
      <c r="R3" s="4" t="s">
        <v>29</v>
      </c>
      <c r="S3" t="s">
        <v>30</v>
      </c>
    </row>
    <row r="4" spans="1:19" ht="15" customHeight="1" x14ac:dyDescent="0.25">
      <c r="A4" t="s">
        <v>19</v>
      </c>
      <c r="B4" t="s">
        <v>20</v>
      </c>
      <c r="C4" t="s">
        <v>31</v>
      </c>
      <c r="D4" s="3">
        <v>45922</v>
      </c>
      <c r="E4" t="s">
        <v>22</v>
      </c>
      <c r="F4" t="s">
        <v>23</v>
      </c>
      <c r="G4" t="str">
        <f>"/code/"&amp;"NLG-"&amp;E4&amp;"/lstm"</f>
        <v>/code/NLG-S1/lstm</v>
      </c>
      <c r="H4" t="s">
        <v>24</v>
      </c>
      <c r="I4" t="str">
        <f t="shared" si="0"/>
        <v>/output/NLG/S1/LSTM/CPU</v>
      </c>
      <c r="J4">
        <v>157303.75823425999</v>
      </c>
      <c r="K4">
        <v>1.0486489999999999</v>
      </c>
      <c r="L4">
        <v>1.5999999999999999E-5</v>
      </c>
      <c r="M4">
        <v>14</v>
      </c>
      <c r="N4" t="s">
        <v>25</v>
      </c>
      <c r="O4" t="s">
        <v>25</v>
      </c>
      <c r="P4">
        <v>0.43692799999999998</v>
      </c>
      <c r="Q4">
        <v>10</v>
      </c>
      <c r="R4" s="4" t="s">
        <v>32</v>
      </c>
      <c r="S4" t="s">
        <v>33</v>
      </c>
    </row>
    <row r="5" spans="1:19" ht="15" customHeight="1" x14ac:dyDescent="0.25">
      <c r="A5" t="s">
        <v>19</v>
      </c>
      <c r="B5" t="s">
        <v>20</v>
      </c>
      <c r="C5" t="s">
        <v>34</v>
      </c>
      <c r="D5" s="3">
        <v>45915</v>
      </c>
      <c r="E5" t="s">
        <v>22</v>
      </c>
      <c r="F5" t="s">
        <v>23</v>
      </c>
      <c r="G5" t="str">
        <f>"/code/"&amp;"NLG-"&amp;E5&amp;"/gpt"</f>
        <v>/code/NLG-S1/gpt</v>
      </c>
      <c r="H5" t="s">
        <v>24</v>
      </c>
      <c r="I5" t="str">
        <f t="shared" si="0"/>
        <v>/output/NLG/S1/GPT-2/CPU</v>
      </c>
      <c r="J5">
        <v>15827.897751050001</v>
      </c>
      <c r="K5">
        <v>8.7064000000000002E-2</v>
      </c>
      <c r="L5">
        <v>6.1547999999999999E-2</v>
      </c>
      <c r="M5">
        <v>14</v>
      </c>
      <c r="N5" t="s">
        <v>25</v>
      </c>
      <c r="O5" t="s">
        <v>25</v>
      </c>
      <c r="P5">
        <v>2.5516E-2</v>
      </c>
      <c r="Q5">
        <v>5.8044347763061497</v>
      </c>
      <c r="R5" s="4" t="s">
        <v>35</v>
      </c>
      <c r="S5" t="s">
        <v>36</v>
      </c>
    </row>
    <row r="6" spans="1:19" ht="15" customHeight="1" x14ac:dyDescent="0.25">
      <c r="A6" t="s">
        <v>19</v>
      </c>
      <c r="B6" t="s">
        <v>20</v>
      </c>
      <c r="C6" t="s">
        <v>37</v>
      </c>
      <c r="D6" s="3">
        <v>45917</v>
      </c>
      <c r="E6" t="s">
        <v>22</v>
      </c>
      <c r="F6" t="s">
        <v>23</v>
      </c>
      <c r="G6" t="str">
        <f>"/code/"&amp;"NLG-"&amp;E6&amp;"/gptfine"</f>
        <v>/code/NLG-S1/gptfine</v>
      </c>
      <c r="H6" t="s">
        <v>24</v>
      </c>
      <c r="I6" t="str">
        <f t="shared" si="0"/>
        <v>/output/NLG/S1/GPT-2-Finetuned/CPU</v>
      </c>
      <c r="J6">
        <v>17448.705827144</v>
      </c>
      <c r="K6">
        <v>9.5980999999999997E-2</v>
      </c>
      <c r="L6">
        <v>6.7850999999999995E-2</v>
      </c>
      <c r="M6">
        <v>14</v>
      </c>
      <c r="N6" t="s">
        <v>25</v>
      </c>
      <c r="O6" t="s">
        <v>25</v>
      </c>
      <c r="P6">
        <v>2.8129999999999999E-2</v>
      </c>
      <c r="Q6">
        <v>5.8044347763061497</v>
      </c>
      <c r="R6" s="4" t="s">
        <v>38</v>
      </c>
      <c r="S6" t="s">
        <v>39</v>
      </c>
    </row>
    <row r="8" spans="1:19" ht="15" customHeight="1" x14ac:dyDescent="0.25">
      <c r="A8" t="s">
        <v>19</v>
      </c>
      <c r="B8" t="s">
        <v>40</v>
      </c>
      <c r="C8" t="s">
        <v>21</v>
      </c>
      <c r="D8" s="3">
        <v>45923</v>
      </c>
      <c r="E8" t="s">
        <v>41</v>
      </c>
      <c r="F8" t="s">
        <v>23</v>
      </c>
      <c r="G8" t="str">
        <f>"/code/"&amp;"NLG-"&amp;E8&amp;"/markov"</f>
        <v>/code/NLG-S2/markov</v>
      </c>
      <c r="H8" t="s">
        <v>24</v>
      </c>
      <c r="I8" t="str">
        <f t="shared" si="0"/>
        <v>/output/NLG/S2/Markov/CPU</v>
      </c>
      <c r="J8">
        <v>4567.2609024040003</v>
      </c>
      <c r="K8">
        <v>5.6078999999999997E-2</v>
      </c>
      <c r="L8">
        <v>4.1223999999999997E-2</v>
      </c>
      <c r="M8">
        <v>32.5</v>
      </c>
      <c r="N8" t="s">
        <v>25</v>
      </c>
      <c r="O8" t="s">
        <v>25</v>
      </c>
      <c r="P8">
        <v>1.4855999999999999E-2</v>
      </c>
      <c r="Q8">
        <v>11.721682548522899</v>
      </c>
      <c r="R8" s="4" t="s">
        <v>42</v>
      </c>
      <c r="S8" t="s">
        <v>43</v>
      </c>
    </row>
    <row r="9" spans="1:19" ht="15" customHeight="1" x14ac:dyDescent="0.25">
      <c r="A9" t="s">
        <v>19</v>
      </c>
      <c r="B9" t="s">
        <v>40</v>
      </c>
      <c r="C9" t="s">
        <v>28</v>
      </c>
      <c r="D9" s="3">
        <v>45923</v>
      </c>
      <c r="E9" t="s">
        <v>41</v>
      </c>
      <c r="F9" t="s">
        <v>23</v>
      </c>
      <c r="G9" t="str">
        <f>"/code/"&amp;"NLG-"&amp;E9&amp;"/markov"</f>
        <v>/code/NLG-S2/markov</v>
      </c>
      <c r="H9" t="s">
        <v>24</v>
      </c>
      <c r="I9" t="str">
        <f t="shared" si="0"/>
        <v>/output/NLG/S2/Markov-OneWord/CPU</v>
      </c>
      <c r="J9">
        <v>1977.0896353989999</v>
      </c>
      <c r="K9">
        <v>2.4274E-2</v>
      </c>
      <c r="L9">
        <v>1.7843999999999999E-2</v>
      </c>
      <c r="M9">
        <v>32.5</v>
      </c>
      <c r="N9" t="s">
        <v>25</v>
      </c>
      <c r="O9" t="s">
        <v>25</v>
      </c>
      <c r="P9">
        <v>6.43E-3</v>
      </c>
      <c r="Q9">
        <v>11.721682548522899</v>
      </c>
      <c r="R9" s="4" t="s">
        <v>44</v>
      </c>
      <c r="S9" t="s">
        <v>45</v>
      </c>
    </row>
    <row r="10" spans="1:19" ht="15" customHeight="1" x14ac:dyDescent="0.25">
      <c r="A10" t="s">
        <v>19</v>
      </c>
      <c r="B10" t="s">
        <v>40</v>
      </c>
      <c r="C10" t="s">
        <v>31</v>
      </c>
      <c r="D10" s="3">
        <v>45973</v>
      </c>
      <c r="E10" t="s">
        <v>41</v>
      </c>
      <c r="F10" t="s">
        <v>23</v>
      </c>
      <c r="G10" t="str">
        <f>"/code/"&amp;"NLG-"&amp;E10&amp;"/lstm"</f>
        <v>/code/NLG-S2/lstm</v>
      </c>
      <c r="H10" t="s">
        <v>24</v>
      </c>
      <c r="I10" t="str">
        <f t="shared" si="0"/>
        <v>/output/NLG/S2/LSTM/CPU</v>
      </c>
      <c r="J10">
        <v>237867.69753862199</v>
      </c>
      <c r="K10">
        <v>3.468766</v>
      </c>
      <c r="L10">
        <v>2.1473589999999998</v>
      </c>
      <c r="M10">
        <v>32.5</v>
      </c>
      <c r="N10" t="s">
        <v>25</v>
      </c>
      <c r="O10" t="s">
        <v>25</v>
      </c>
      <c r="P10">
        <v>1.321407</v>
      </c>
      <c r="Q10">
        <v>20</v>
      </c>
      <c r="R10" s="4" t="s">
        <v>46</v>
      </c>
      <c r="S10" t="s">
        <v>47</v>
      </c>
    </row>
    <row r="11" spans="1:19" ht="15" customHeight="1" x14ac:dyDescent="0.25">
      <c r="A11" t="s">
        <v>19</v>
      </c>
      <c r="B11" t="s">
        <v>40</v>
      </c>
      <c r="C11" t="s">
        <v>31</v>
      </c>
      <c r="D11" s="3" t="s">
        <v>25</v>
      </c>
      <c r="E11" t="s">
        <v>41</v>
      </c>
      <c r="F11" t="s">
        <v>48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</row>
    <row r="12" spans="1:19" ht="15" customHeight="1" x14ac:dyDescent="0.25">
      <c r="A12" t="s">
        <v>19</v>
      </c>
      <c r="B12" t="s">
        <v>40</v>
      </c>
      <c r="C12" t="s">
        <v>34</v>
      </c>
      <c r="D12" s="3">
        <v>45923</v>
      </c>
      <c r="E12" t="s">
        <v>41</v>
      </c>
      <c r="F12" t="s">
        <v>23</v>
      </c>
      <c r="G12" t="str">
        <f>"/code/"&amp;"NLG-"&amp;E12&amp;"/gpt"</f>
        <v>/code/NLG-S2/gpt</v>
      </c>
      <c r="H12" t="s">
        <v>24</v>
      </c>
      <c r="I12" t="str">
        <f t="shared" si="0"/>
        <v>/output/NLG/S2/GPT-2/CPU</v>
      </c>
      <c r="J12">
        <v>16105.576718984999</v>
      </c>
      <c r="K12">
        <v>0.197824</v>
      </c>
      <c r="L12">
        <v>0.14538899999999999</v>
      </c>
      <c r="M12">
        <v>32.5</v>
      </c>
      <c r="N12" t="s">
        <v>25</v>
      </c>
      <c r="O12" t="s">
        <v>25</v>
      </c>
      <c r="P12">
        <v>5.2435000000000002E-2</v>
      </c>
      <c r="Q12">
        <v>11.721682548522899</v>
      </c>
      <c r="R12" s="4" t="s">
        <v>49</v>
      </c>
      <c r="S12" t="s">
        <v>50</v>
      </c>
    </row>
    <row r="13" spans="1:19" ht="15" customHeight="1" x14ac:dyDescent="0.25">
      <c r="A13" t="s">
        <v>19</v>
      </c>
      <c r="B13" t="s">
        <v>40</v>
      </c>
      <c r="C13" t="s">
        <v>34</v>
      </c>
      <c r="D13" s="3" t="s">
        <v>25</v>
      </c>
      <c r="E13" t="s">
        <v>41</v>
      </c>
      <c r="F13" t="s">
        <v>48</v>
      </c>
      <c r="G13" t="s">
        <v>25</v>
      </c>
      <c r="H13" t="s">
        <v>25</v>
      </c>
      <c r="I13" t="str">
        <f t="shared" si="0"/>
        <v>/output/NLG/S2/GPT-2/GPU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</row>
    <row r="14" spans="1:19" ht="15" customHeight="1" x14ac:dyDescent="0.25">
      <c r="A14" t="s">
        <v>19</v>
      </c>
      <c r="B14" t="s">
        <v>40</v>
      </c>
      <c r="C14" t="s">
        <v>37</v>
      </c>
      <c r="D14" s="3">
        <v>45974</v>
      </c>
      <c r="E14" t="s">
        <v>41</v>
      </c>
      <c r="F14" t="s">
        <v>23</v>
      </c>
      <c r="G14" t="str">
        <f>"/code/"&amp;"NLG-"&amp;E14&amp;"/gptfine"</f>
        <v>/code/NLG-S2/gptfine</v>
      </c>
      <c r="H14" t="s">
        <v>24</v>
      </c>
      <c r="I14" t="s">
        <v>25</v>
      </c>
      <c r="J14">
        <v>20598.329889625002</v>
      </c>
      <c r="K14">
        <v>0.25300899999999998</v>
      </c>
      <c r="L14">
        <v>0.185946</v>
      </c>
      <c r="M14">
        <v>32.5</v>
      </c>
      <c r="N14" t="s">
        <v>25</v>
      </c>
      <c r="O14" t="s">
        <v>25</v>
      </c>
      <c r="P14">
        <v>6.7061999999999997E-2</v>
      </c>
      <c r="Q14">
        <v>11.721682548522899</v>
      </c>
      <c r="R14" s="4" t="s">
        <v>51</v>
      </c>
      <c r="S14" t="s">
        <v>52</v>
      </c>
    </row>
    <row r="15" spans="1:19" ht="15" customHeight="1" x14ac:dyDescent="0.25">
      <c r="A15" t="s">
        <v>19</v>
      </c>
      <c r="B15" t="s">
        <v>40</v>
      </c>
      <c r="C15" t="s">
        <v>37</v>
      </c>
      <c r="D15" s="3" t="s">
        <v>25</v>
      </c>
      <c r="E15" t="s">
        <v>41</v>
      </c>
      <c r="F15" t="s">
        <v>48</v>
      </c>
      <c r="G15" t="s">
        <v>25</v>
      </c>
      <c r="H15" t="s">
        <v>25</v>
      </c>
      <c r="I15" t="str">
        <f t="shared" si="0"/>
        <v>/output/NLG/S2/GPT-2-Finetuned/GPU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</row>
    <row r="17" spans="1:19" ht="15" customHeight="1" x14ac:dyDescent="0.25">
      <c r="A17" t="s">
        <v>19</v>
      </c>
      <c r="B17" t="s">
        <v>53</v>
      </c>
      <c r="C17" t="s">
        <v>21</v>
      </c>
      <c r="D17" s="3">
        <v>45917</v>
      </c>
      <c r="E17" t="s">
        <v>54</v>
      </c>
      <c r="F17" t="s">
        <v>23</v>
      </c>
      <c r="G17" t="str">
        <f>"/code/"&amp;"NLG-"&amp;E17&amp;"/markov"</f>
        <v>/code/NLG-S3/markov</v>
      </c>
      <c r="H17" t="s">
        <v>24</v>
      </c>
      <c r="I17" t="str">
        <f t="shared" si="0"/>
        <v>/output/NLG/S3/Markov/CPU</v>
      </c>
      <c r="J17">
        <v>3355.0496870289899</v>
      </c>
      <c r="K17">
        <v>5.0349999999999999E-2</v>
      </c>
      <c r="L17">
        <v>3.9583E-2</v>
      </c>
      <c r="M17">
        <v>42.5</v>
      </c>
      <c r="N17" t="s">
        <v>25</v>
      </c>
      <c r="O17" t="s">
        <v>25</v>
      </c>
      <c r="P17">
        <v>1.0767000000000001E-2</v>
      </c>
      <c r="Q17">
        <v>11.589908123016301</v>
      </c>
      <c r="R17" s="4" t="s">
        <v>55</v>
      </c>
      <c r="S17" t="s">
        <v>56</v>
      </c>
    </row>
    <row r="18" spans="1:19" ht="15" customHeight="1" x14ac:dyDescent="0.25">
      <c r="A18" t="s">
        <v>19</v>
      </c>
      <c r="B18" t="s">
        <v>53</v>
      </c>
      <c r="C18" t="s">
        <v>28</v>
      </c>
      <c r="D18" s="3">
        <v>45917</v>
      </c>
      <c r="E18" t="s">
        <v>54</v>
      </c>
      <c r="F18" t="s">
        <v>23</v>
      </c>
      <c r="G18" t="str">
        <f>"/code/"&amp;"NLG-"&amp;E18&amp;"/markov"</f>
        <v>/code/NLG-S3/markov</v>
      </c>
      <c r="H18" t="s">
        <v>24</v>
      </c>
      <c r="I18" t="str">
        <f t="shared" si="0"/>
        <v>/output/NLG/S3/Markov-OneWord/CPU</v>
      </c>
      <c r="J18">
        <v>1471.79927902999</v>
      </c>
      <c r="K18">
        <v>2.2086999999999999E-2</v>
      </c>
      <c r="L18">
        <v>1.7361999999999999E-2</v>
      </c>
      <c r="M18">
        <v>42.5</v>
      </c>
      <c r="N18" t="s">
        <v>25</v>
      </c>
      <c r="O18" t="s">
        <v>25</v>
      </c>
      <c r="P18">
        <v>4.7260000000000002E-3</v>
      </c>
      <c r="Q18">
        <v>11.589908123016301</v>
      </c>
      <c r="R18" s="4" t="s">
        <v>57</v>
      </c>
      <c r="S18" t="s">
        <v>58</v>
      </c>
    </row>
    <row r="19" spans="1:19" ht="15" customHeight="1" x14ac:dyDescent="0.25">
      <c r="A19" t="s">
        <v>19</v>
      </c>
      <c r="B19" t="s">
        <v>53</v>
      </c>
      <c r="C19" t="s">
        <v>31</v>
      </c>
      <c r="D19" s="3">
        <v>45921</v>
      </c>
      <c r="E19" t="s">
        <v>54</v>
      </c>
      <c r="F19" t="s">
        <v>23</v>
      </c>
      <c r="G19" t="str">
        <f>"/code/"&amp;"NLG-"&amp;E19&amp;"/lstm"</f>
        <v>/code/NLG-S3/lstm</v>
      </c>
      <c r="H19" t="s">
        <v>24</v>
      </c>
      <c r="I19" t="str">
        <f t="shared" si="0"/>
        <v>/output/NLG/S3/LSTM/CPU</v>
      </c>
      <c r="J19">
        <v>85003.844494347999</v>
      </c>
      <c r="K19">
        <v>0.76738099999999998</v>
      </c>
      <c r="L19">
        <v>0.76738099999999998</v>
      </c>
      <c r="M19">
        <v>32.5</v>
      </c>
      <c r="N19" t="s">
        <v>25</v>
      </c>
      <c r="O19" t="s">
        <v>25</v>
      </c>
      <c r="P19">
        <v>0.472221</v>
      </c>
      <c r="Q19">
        <v>20</v>
      </c>
      <c r="R19" s="4" t="s">
        <v>59</v>
      </c>
      <c r="S19" t="s">
        <v>60</v>
      </c>
    </row>
    <row r="20" spans="1:19" ht="15" customHeight="1" x14ac:dyDescent="0.25">
      <c r="A20" t="s">
        <v>19</v>
      </c>
      <c r="B20" t="s">
        <v>53</v>
      </c>
      <c r="C20" t="s">
        <v>31</v>
      </c>
      <c r="D20" s="3">
        <v>45920</v>
      </c>
      <c r="E20" t="s">
        <v>54</v>
      </c>
      <c r="F20" t="s">
        <v>48</v>
      </c>
      <c r="G20" t="str">
        <f>"/code/"&amp;"NLG-"&amp;E20&amp;"/lstm_gpu"</f>
        <v>/code/NLG-S3/lstm_gpu</v>
      </c>
      <c r="H20" t="s">
        <v>24</v>
      </c>
      <c r="I20" t="str">
        <f t="shared" si="0"/>
        <v>/output/NLG/S3/LSTM/GPU</v>
      </c>
      <c r="J20">
        <v>85590.618849530001</v>
      </c>
      <c r="K20">
        <v>1.44946</v>
      </c>
      <c r="L20">
        <v>0.77257399999999998</v>
      </c>
      <c r="M20">
        <v>32.5</v>
      </c>
      <c r="N20">
        <v>0.20147000000000001</v>
      </c>
      <c r="O20">
        <v>7.7213422413646899</v>
      </c>
      <c r="P20">
        <v>0.47541699999999998</v>
      </c>
      <c r="Q20">
        <v>20</v>
      </c>
      <c r="R20" s="4" t="s">
        <v>61</v>
      </c>
      <c r="S20" t="s">
        <v>62</v>
      </c>
    </row>
    <row r="21" spans="1:19" ht="15" customHeight="1" x14ac:dyDescent="0.25">
      <c r="A21" t="s">
        <v>19</v>
      </c>
      <c r="B21" t="s">
        <v>53</v>
      </c>
      <c r="C21" t="s">
        <v>34</v>
      </c>
      <c r="D21" s="3">
        <v>45917</v>
      </c>
      <c r="E21" t="s">
        <v>54</v>
      </c>
      <c r="F21" t="s">
        <v>23</v>
      </c>
      <c r="G21" t="str">
        <f>"/code/"&amp;"NLG-"&amp;E21&amp;"/gpt"</f>
        <v>/code/NLG-S3/gpt</v>
      </c>
      <c r="H21" t="s">
        <v>24</v>
      </c>
      <c r="I21" t="str">
        <f t="shared" si="0"/>
        <v>/output/NLG/S3/GPT-2/CPU</v>
      </c>
      <c r="J21">
        <v>16068.0954078259</v>
      </c>
      <c r="K21">
        <v>0.24140200000000001</v>
      </c>
      <c r="L21">
        <v>0.18967800000000001</v>
      </c>
      <c r="M21">
        <v>42.5</v>
      </c>
      <c r="N21" t="s">
        <v>25</v>
      </c>
      <c r="O21" t="s">
        <v>25</v>
      </c>
      <c r="P21">
        <v>5.1723999999999999E-2</v>
      </c>
      <c r="Q21">
        <v>11.589908123016301</v>
      </c>
      <c r="R21" s="4" t="s">
        <v>63</v>
      </c>
      <c r="S21" t="s">
        <v>64</v>
      </c>
    </row>
    <row r="22" spans="1:19" ht="15" customHeight="1" x14ac:dyDescent="0.25">
      <c r="A22" t="s">
        <v>19</v>
      </c>
      <c r="B22" t="s">
        <v>53</v>
      </c>
      <c r="C22" t="s">
        <v>34</v>
      </c>
      <c r="D22" s="3">
        <v>45919</v>
      </c>
      <c r="E22" t="s">
        <v>54</v>
      </c>
      <c r="F22" t="s">
        <v>48</v>
      </c>
      <c r="G22" t="str">
        <f>"/code/"&amp;"NLG-"&amp;E22&amp;"/gpt"</f>
        <v>/code/NLG-S3/gpt</v>
      </c>
      <c r="H22" t="s">
        <v>24</v>
      </c>
      <c r="I22" t="str">
        <f t="shared" si="0"/>
        <v>/output/NLG/S3/GPT-2/GPU</v>
      </c>
      <c r="J22">
        <v>3627.2578113589898</v>
      </c>
      <c r="K22">
        <v>0.122822</v>
      </c>
      <c r="L22">
        <v>3.2744000000000002E-2</v>
      </c>
      <c r="M22">
        <v>32.5</v>
      </c>
      <c r="N22">
        <v>6.9928000000000004E-2</v>
      </c>
      <c r="O22">
        <v>68.783574657543895</v>
      </c>
      <c r="P22">
        <v>2.0150000000000001E-2</v>
      </c>
      <c r="Q22">
        <v>20</v>
      </c>
      <c r="R22" s="4" t="s">
        <v>65</v>
      </c>
      <c r="S22" t="s">
        <v>66</v>
      </c>
    </row>
    <row r="23" spans="1:19" ht="15" customHeight="1" x14ac:dyDescent="0.25">
      <c r="A23" t="s">
        <v>19</v>
      </c>
      <c r="B23" t="s">
        <v>53</v>
      </c>
      <c r="C23" t="s">
        <v>37</v>
      </c>
      <c r="D23" s="3">
        <v>45920</v>
      </c>
      <c r="E23" t="s">
        <v>54</v>
      </c>
      <c r="F23" t="s">
        <v>23</v>
      </c>
      <c r="G23" t="str">
        <f>"/code/"&amp;"NLG-"&amp;E23&amp;"/gptfine"</f>
        <v>/code/NLG-S3/gptfine</v>
      </c>
      <c r="H23" t="s">
        <v>24</v>
      </c>
      <c r="I23" t="str">
        <f t="shared" si="0"/>
        <v>/output/NLG/S3/GPT-2-Finetuned/CPU</v>
      </c>
      <c r="J23">
        <v>15579.4333740969</v>
      </c>
      <c r="K23">
        <v>0.23405999999999999</v>
      </c>
      <c r="L23">
        <v>0.18390899999999999</v>
      </c>
      <c r="M23">
        <v>42.5</v>
      </c>
      <c r="N23" t="s">
        <v>25</v>
      </c>
      <c r="O23" t="s">
        <v>25</v>
      </c>
      <c r="P23">
        <v>5.0151000000000001E-2</v>
      </c>
      <c r="Q23">
        <v>11.5899095535278</v>
      </c>
      <c r="R23" s="4" t="s">
        <v>67</v>
      </c>
      <c r="S23" t="s">
        <v>68</v>
      </c>
    </row>
    <row r="24" spans="1:19" ht="15" customHeight="1" x14ac:dyDescent="0.25">
      <c r="A24" t="s">
        <v>19</v>
      </c>
      <c r="B24" t="s">
        <v>53</v>
      </c>
      <c r="C24" t="s">
        <v>37</v>
      </c>
      <c r="D24" s="3">
        <v>45918</v>
      </c>
      <c r="E24" t="s">
        <v>54</v>
      </c>
      <c r="F24" t="s">
        <v>48</v>
      </c>
      <c r="G24" t="str">
        <f>"/code/"&amp;"NLG-"&amp;E24&amp;"/gptfine"</f>
        <v>/code/NLG-S3/gptfine</v>
      </c>
      <c r="H24" t="s">
        <v>24</v>
      </c>
      <c r="I24" t="str">
        <f t="shared" si="0"/>
        <v>/output/NLG/S3/GPT-2-Finetuned/GPU</v>
      </c>
      <c r="J24">
        <v>5349.3007802120001</v>
      </c>
      <c r="K24">
        <v>0.14697099999999999</v>
      </c>
      <c r="L24">
        <v>4.8204999999999998E-2</v>
      </c>
      <c r="M24">
        <v>32.5</v>
      </c>
      <c r="N24">
        <v>6.9125000000000006E-2</v>
      </c>
      <c r="O24">
        <v>60.9198074964198</v>
      </c>
      <c r="P24">
        <v>2.964E-2</v>
      </c>
      <c r="Q24">
        <v>20</v>
      </c>
      <c r="R24" s="4" t="s">
        <v>69</v>
      </c>
      <c r="S24" t="s">
        <v>70</v>
      </c>
    </row>
    <row r="27" spans="1:19" ht="15" customHeight="1" x14ac:dyDescent="0.25">
      <c r="A27" t="s">
        <v>71</v>
      </c>
      <c r="B27" t="s">
        <v>72</v>
      </c>
      <c r="C27" t="s">
        <v>73</v>
      </c>
      <c r="D27" s="3">
        <v>45925</v>
      </c>
      <c r="E27" t="s">
        <v>22</v>
      </c>
      <c r="F27" t="s">
        <v>23</v>
      </c>
      <c r="G27" t="str">
        <f>"/code/"&amp;"TS1-"&amp;E27</f>
        <v>/code/TS1-S1</v>
      </c>
      <c r="H27" t="s">
        <v>74</v>
      </c>
      <c r="I27" t="str">
        <f t="shared" si="0"/>
        <v>/output/TS1/S1/LexRank/CPU</v>
      </c>
      <c r="J27">
        <v>564.13770877399998</v>
      </c>
      <c r="K27">
        <v>3.7590000000000002E-3</v>
      </c>
      <c r="L27">
        <v>2.1930000000000001E-3</v>
      </c>
      <c r="M27">
        <v>14</v>
      </c>
      <c r="N27" t="s">
        <v>25</v>
      </c>
      <c r="O27" t="s">
        <v>25</v>
      </c>
      <c r="P27">
        <v>1.5659999999999999E-3</v>
      </c>
      <c r="Q27">
        <v>10</v>
      </c>
      <c r="R27" s="4" t="s">
        <v>75</v>
      </c>
      <c r="S27" t="s">
        <v>76</v>
      </c>
    </row>
    <row r="28" spans="1:19" ht="15" customHeight="1" x14ac:dyDescent="0.25">
      <c r="A28" t="s">
        <v>71</v>
      </c>
      <c r="B28" t="s">
        <v>72</v>
      </c>
      <c r="C28" t="s">
        <v>77</v>
      </c>
      <c r="D28" s="3">
        <v>45925</v>
      </c>
      <c r="E28" t="s">
        <v>22</v>
      </c>
      <c r="F28" t="s">
        <v>23</v>
      </c>
      <c r="G28" t="str">
        <f t="shared" ref="G28:G54" si="1">"/code/"&amp;"TS1-"&amp;E28</f>
        <v>/code/TS1-S1</v>
      </c>
      <c r="H28" t="s">
        <v>74</v>
      </c>
      <c r="I28" t="str">
        <f t="shared" si="0"/>
        <v>/output/TS1/S1/TextRank/CPU</v>
      </c>
      <c r="J28">
        <v>484.04559379800003</v>
      </c>
      <c r="K28">
        <v>3.225E-3</v>
      </c>
      <c r="L28">
        <v>1.882E-3</v>
      </c>
      <c r="M28">
        <v>14</v>
      </c>
      <c r="N28" t="s">
        <v>25</v>
      </c>
      <c r="O28" t="s">
        <v>25</v>
      </c>
      <c r="P28">
        <v>1.343E-3</v>
      </c>
      <c r="Q28">
        <v>10</v>
      </c>
      <c r="R28" s="4" t="s">
        <v>78</v>
      </c>
      <c r="S28" t="s">
        <v>79</v>
      </c>
    </row>
    <row r="29" spans="1:19" ht="15" customHeight="1" x14ac:dyDescent="0.25">
      <c r="A29" t="s">
        <v>71</v>
      </c>
      <c r="B29" t="s">
        <v>72</v>
      </c>
      <c r="C29" t="s">
        <v>80</v>
      </c>
      <c r="D29" s="3">
        <v>45924</v>
      </c>
      <c r="E29" t="s">
        <v>22</v>
      </c>
      <c r="F29" t="s">
        <v>23</v>
      </c>
      <c r="G29" t="str">
        <f t="shared" si="1"/>
        <v>/code/TS1-S1</v>
      </c>
      <c r="H29" t="s">
        <v>74</v>
      </c>
      <c r="I29" t="str">
        <f t="shared" si="0"/>
        <v>/output/TS1/S1/T5/CPU</v>
      </c>
      <c r="J29">
        <v>7079.7220896150002</v>
      </c>
      <c r="K29">
        <v>4.7199063756658798E-2</v>
      </c>
      <c r="L29">
        <v>2.7533068648489398E-2</v>
      </c>
      <c r="M29">
        <v>14</v>
      </c>
      <c r="N29" t="s">
        <v>25</v>
      </c>
      <c r="O29" t="s">
        <v>25</v>
      </c>
      <c r="P29">
        <v>1.9665995108169399E-2</v>
      </c>
      <c r="Q29">
        <v>10</v>
      </c>
      <c r="R29" s="4" t="s">
        <v>81</v>
      </c>
      <c r="S29" t="s">
        <v>82</v>
      </c>
    </row>
    <row r="30" spans="1:19" ht="15" customHeight="1" x14ac:dyDescent="0.25">
      <c r="A30" t="s">
        <v>71</v>
      </c>
      <c r="B30" t="s">
        <v>72</v>
      </c>
      <c r="C30" t="s">
        <v>83</v>
      </c>
      <c r="D30" s="3">
        <v>45924</v>
      </c>
      <c r="E30" t="s">
        <v>22</v>
      </c>
      <c r="F30" t="s">
        <v>23</v>
      </c>
      <c r="G30" t="str">
        <f t="shared" si="1"/>
        <v>/code/TS1-S1</v>
      </c>
      <c r="H30" t="s">
        <v>74</v>
      </c>
      <c r="I30" t="str">
        <f t="shared" si="0"/>
        <v>/output/TS1/S1/Pegasus/CPU</v>
      </c>
      <c r="J30">
        <v>14929.561005467</v>
      </c>
      <c r="K30">
        <v>9.9521999999999999E-2</v>
      </c>
      <c r="L30">
        <v>5.8056999999999997E-2</v>
      </c>
      <c r="M30">
        <v>14</v>
      </c>
      <c r="N30" t="s">
        <v>25</v>
      </c>
      <c r="O30" t="s">
        <v>25</v>
      </c>
      <c r="P30">
        <v>4.1465000000000002E-2</v>
      </c>
      <c r="Q30">
        <v>10</v>
      </c>
      <c r="R30" s="4" t="s">
        <v>84</v>
      </c>
      <c r="S30" t="s">
        <v>85</v>
      </c>
    </row>
    <row r="31" spans="1:19" ht="15" customHeight="1" x14ac:dyDescent="0.25">
      <c r="A31" t="s">
        <v>71</v>
      </c>
      <c r="B31" t="s">
        <v>72</v>
      </c>
      <c r="C31" t="s">
        <v>86</v>
      </c>
      <c r="D31" s="3">
        <v>45924</v>
      </c>
      <c r="E31" t="s">
        <v>22</v>
      </c>
      <c r="F31" t="s">
        <v>23</v>
      </c>
      <c r="G31" t="str">
        <f t="shared" si="1"/>
        <v>/code/TS1-S1</v>
      </c>
      <c r="H31" t="s">
        <v>74</v>
      </c>
      <c r="I31" t="str">
        <f t="shared" si="0"/>
        <v>/output/TS1/S1/MT5/CPU</v>
      </c>
      <c r="J31">
        <v>7131.1244575170003</v>
      </c>
      <c r="K31">
        <v>4.7532999999999999E-2</v>
      </c>
      <c r="L31">
        <v>2.7730000000000001E-2</v>
      </c>
      <c r="M31">
        <v>14</v>
      </c>
      <c r="N31" t="s">
        <v>25</v>
      </c>
      <c r="O31" t="s">
        <v>25</v>
      </c>
      <c r="P31">
        <v>1.9803000000000001E-2</v>
      </c>
      <c r="Q31">
        <v>10</v>
      </c>
      <c r="R31" s="4" t="s">
        <v>87</v>
      </c>
      <c r="S31" t="s">
        <v>88</v>
      </c>
    </row>
    <row r="32" spans="1:19" ht="15" customHeight="1" x14ac:dyDescent="0.25">
      <c r="A32" t="s">
        <v>71</v>
      </c>
      <c r="B32" t="s">
        <v>72</v>
      </c>
      <c r="C32" t="s">
        <v>89</v>
      </c>
      <c r="D32" s="3">
        <v>45924</v>
      </c>
      <c r="E32" t="s">
        <v>22</v>
      </c>
      <c r="F32" t="s">
        <v>23</v>
      </c>
      <c r="G32" t="str">
        <f t="shared" si="1"/>
        <v>/code/TS1-S1</v>
      </c>
      <c r="H32" t="s">
        <v>74</v>
      </c>
      <c r="I32" t="str">
        <f t="shared" si="0"/>
        <v>/output/TS1/S1/Bert2Bert/CPU</v>
      </c>
      <c r="J32">
        <v>6648.1765063450002</v>
      </c>
      <c r="K32">
        <v>4.4320999999999999E-2</v>
      </c>
      <c r="L32">
        <v>2.5853999999999999E-2</v>
      </c>
      <c r="M32">
        <v>14</v>
      </c>
      <c r="N32" t="s">
        <v>25</v>
      </c>
      <c r="O32" t="s">
        <v>25</v>
      </c>
      <c r="P32">
        <v>1.8467000000000001E-2</v>
      </c>
      <c r="Q32">
        <v>10</v>
      </c>
      <c r="R32" s="4" t="s">
        <v>90</v>
      </c>
      <c r="S32" t="s">
        <v>91</v>
      </c>
    </row>
    <row r="34" spans="1:19" ht="15" customHeight="1" x14ac:dyDescent="0.25">
      <c r="A34" t="s">
        <v>71</v>
      </c>
      <c r="B34" t="s">
        <v>92</v>
      </c>
      <c r="C34" t="s">
        <v>73</v>
      </c>
      <c r="D34" s="3">
        <v>45968</v>
      </c>
      <c r="E34" t="s">
        <v>41</v>
      </c>
      <c r="F34" t="s">
        <v>23</v>
      </c>
      <c r="G34" t="str">
        <f t="shared" si="1"/>
        <v>/code/TS1-S2</v>
      </c>
      <c r="H34" t="s">
        <v>74</v>
      </c>
      <c r="I34" t="str">
        <f t="shared" si="0"/>
        <v>/output/TS1/S2/LexRank/CPU</v>
      </c>
      <c r="J34">
        <v>326.54838716499899</v>
      </c>
      <c r="K34">
        <v>4.7600000000000003E-3</v>
      </c>
      <c r="L34">
        <v>2.947E-3</v>
      </c>
      <c r="M34">
        <v>32.5</v>
      </c>
      <c r="N34" t="s">
        <v>25</v>
      </c>
      <c r="O34" t="s">
        <v>25</v>
      </c>
      <c r="P34">
        <v>1.8129999999999999E-3</v>
      </c>
      <c r="Q34">
        <v>20</v>
      </c>
      <c r="R34" s="4" t="s">
        <v>93</v>
      </c>
      <c r="S34" t="s">
        <v>94</v>
      </c>
    </row>
    <row r="35" spans="1:19" ht="15" customHeight="1" x14ac:dyDescent="0.25">
      <c r="A35" t="s">
        <v>71</v>
      </c>
      <c r="B35" t="s">
        <v>92</v>
      </c>
      <c r="C35" t="s">
        <v>77</v>
      </c>
      <c r="D35" s="3">
        <v>45968</v>
      </c>
      <c r="E35" t="s">
        <v>41</v>
      </c>
      <c r="F35" t="s">
        <v>23</v>
      </c>
      <c r="G35" t="str">
        <f t="shared" si="1"/>
        <v>/code/TS1-S2</v>
      </c>
      <c r="H35" t="s">
        <v>74</v>
      </c>
      <c r="I35" t="str">
        <f t="shared" si="0"/>
        <v>/output/TS1/S2/TextRank/CPU</v>
      </c>
      <c r="J35">
        <v>331.02125157599897</v>
      </c>
      <c r="K35">
        <v>4.8260000000000004E-3</v>
      </c>
      <c r="L35">
        <v>2.9880000000000002E-3</v>
      </c>
      <c r="M35">
        <v>32.5</v>
      </c>
      <c r="N35" t="s">
        <v>25</v>
      </c>
      <c r="O35" t="s">
        <v>25</v>
      </c>
      <c r="P35">
        <v>1.838E-3</v>
      </c>
      <c r="Q35">
        <v>20</v>
      </c>
      <c r="R35" s="4" t="s">
        <v>95</v>
      </c>
      <c r="S35" t="s">
        <v>96</v>
      </c>
    </row>
    <row r="36" spans="1:19" ht="15" customHeight="1" x14ac:dyDescent="0.25">
      <c r="A36" t="s">
        <v>71</v>
      </c>
      <c r="B36" t="s">
        <v>92</v>
      </c>
      <c r="C36" t="s">
        <v>80</v>
      </c>
      <c r="D36" s="3">
        <v>45967</v>
      </c>
      <c r="E36" t="s">
        <v>41</v>
      </c>
      <c r="F36" t="s">
        <v>23</v>
      </c>
      <c r="G36" t="str">
        <f t="shared" si="1"/>
        <v>/code/TS1-S2</v>
      </c>
      <c r="H36" t="s">
        <v>74</v>
      </c>
      <c r="I36" t="str">
        <f t="shared" si="0"/>
        <v>/output/TS1/S2/T5/CPU</v>
      </c>
      <c r="J36">
        <v>5982.8164165639901</v>
      </c>
      <c r="K36">
        <v>8.7248999999999993E-2</v>
      </c>
      <c r="L36">
        <v>5.4011999999999998E-2</v>
      </c>
      <c r="M36">
        <v>32.5</v>
      </c>
      <c r="N36" t="s">
        <v>25</v>
      </c>
      <c r="O36" t="s">
        <v>25</v>
      </c>
      <c r="P36">
        <v>3.3237000000000003E-2</v>
      </c>
      <c r="Q36">
        <v>20</v>
      </c>
      <c r="R36" s="4" t="s">
        <v>97</v>
      </c>
      <c r="S36" t="s">
        <v>98</v>
      </c>
    </row>
    <row r="37" spans="1:19" ht="15" customHeight="1" x14ac:dyDescent="0.25">
      <c r="A37" t="s">
        <v>71</v>
      </c>
      <c r="B37" t="s">
        <v>92</v>
      </c>
      <c r="C37" t="s">
        <v>80</v>
      </c>
      <c r="D37" t="s">
        <v>25</v>
      </c>
      <c r="E37" t="s">
        <v>41</v>
      </c>
      <c r="F37" t="s">
        <v>48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</row>
    <row r="38" spans="1:19" ht="15" customHeight="1" x14ac:dyDescent="0.25">
      <c r="A38" t="s">
        <v>71</v>
      </c>
      <c r="B38" t="s">
        <v>92</v>
      </c>
      <c r="C38" t="s">
        <v>83</v>
      </c>
      <c r="D38" s="3">
        <v>45968</v>
      </c>
      <c r="E38" t="s">
        <v>41</v>
      </c>
      <c r="F38" t="s">
        <v>23</v>
      </c>
      <c r="G38" t="str">
        <f t="shared" si="1"/>
        <v>/code/TS1-S2</v>
      </c>
      <c r="H38" t="s">
        <v>74</v>
      </c>
      <c r="I38" t="str">
        <f t="shared" si="0"/>
        <v>/output/TS1/S2/Pegasus/CPU</v>
      </c>
      <c r="J38">
        <v>10913.523000450999</v>
      </c>
      <c r="K38">
        <v>0.15914300000000001</v>
      </c>
      <c r="L38">
        <v>9.8520999999999997E-2</v>
      </c>
      <c r="M38">
        <v>32.5</v>
      </c>
      <c r="N38" t="s">
        <v>25</v>
      </c>
      <c r="O38" t="s">
        <v>25</v>
      </c>
      <c r="P38">
        <v>6.0622000000000002E-2</v>
      </c>
      <c r="Q38">
        <v>20</v>
      </c>
      <c r="R38" s="4" t="s">
        <v>99</v>
      </c>
      <c r="S38" t="s">
        <v>100</v>
      </c>
    </row>
    <row r="39" spans="1:19" ht="15" customHeight="1" x14ac:dyDescent="0.25">
      <c r="A39" t="s">
        <v>71</v>
      </c>
      <c r="B39" t="s">
        <v>92</v>
      </c>
      <c r="C39" t="s">
        <v>83</v>
      </c>
      <c r="D39" t="s">
        <v>25</v>
      </c>
      <c r="E39" t="s">
        <v>41</v>
      </c>
      <c r="F39" t="s">
        <v>48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</row>
    <row r="40" spans="1:19" ht="15" customHeight="1" x14ac:dyDescent="0.25">
      <c r="A40" t="s">
        <v>71</v>
      </c>
      <c r="B40" t="s">
        <v>92</v>
      </c>
      <c r="C40" t="s">
        <v>86</v>
      </c>
      <c r="D40" s="3">
        <v>45968</v>
      </c>
      <c r="E40" t="s">
        <v>41</v>
      </c>
      <c r="F40" t="s">
        <v>23</v>
      </c>
      <c r="G40" t="str">
        <f t="shared" si="1"/>
        <v>/code/TS1-S2</v>
      </c>
      <c r="H40" t="s">
        <v>74</v>
      </c>
      <c r="I40" t="str">
        <f t="shared" si="0"/>
        <v>/output/TS1/S2/MT5/CPU</v>
      </c>
      <c r="J40">
        <v>5920.4541860109903</v>
      </c>
      <c r="K40">
        <v>8.6308999999999997E-2</v>
      </c>
      <c r="L40">
        <v>5.3440000000000001E-2</v>
      </c>
      <c r="M40">
        <v>32.5</v>
      </c>
      <c r="N40" t="s">
        <v>25</v>
      </c>
      <c r="O40" t="s">
        <v>25</v>
      </c>
      <c r="P40">
        <v>3.2869000000000002E-2</v>
      </c>
      <c r="Q40">
        <v>20</v>
      </c>
      <c r="R40" s="4" t="s">
        <v>101</v>
      </c>
      <c r="S40" t="s">
        <v>102</v>
      </c>
    </row>
    <row r="41" spans="1:19" ht="15" customHeight="1" x14ac:dyDescent="0.25">
      <c r="A41" t="s">
        <v>71</v>
      </c>
      <c r="B41" t="s">
        <v>92</v>
      </c>
      <c r="C41" t="s">
        <v>86</v>
      </c>
      <c r="D41" t="s">
        <v>25</v>
      </c>
      <c r="E41" t="s">
        <v>41</v>
      </c>
      <c r="F41" t="s">
        <v>48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</row>
    <row r="42" spans="1:19" ht="15" customHeight="1" x14ac:dyDescent="0.25">
      <c r="A42" t="s">
        <v>71</v>
      </c>
      <c r="B42" t="s">
        <v>92</v>
      </c>
      <c r="C42" t="s">
        <v>89</v>
      </c>
      <c r="D42" s="3">
        <v>45968</v>
      </c>
      <c r="E42" t="s">
        <v>41</v>
      </c>
      <c r="F42" t="s">
        <v>23</v>
      </c>
      <c r="G42" t="str">
        <f t="shared" si="1"/>
        <v>/code/TS1-S2</v>
      </c>
      <c r="H42" t="s">
        <v>74</v>
      </c>
      <c r="I42" t="str">
        <f t="shared" si="0"/>
        <v>/output/TS1/S2/Bert2Bert/CPU</v>
      </c>
      <c r="J42">
        <v>5849.6244957059898</v>
      </c>
      <c r="K42">
        <v>8.5306999999999994E-2</v>
      </c>
      <c r="L42">
        <v>5.2809000000000002E-2</v>
      </c>
      <c r="M42">
        <v>32.5</v>
      </c>
      <c r="N42" t="s">
        <v>25</v>
      </c>
      <c r="O42" t="s">
        <v>25</v>
      </c>
      <c r="P42">
        <v>3.2496999999999998E-2</v>
      </c>
      <c r="Q42">
        <v>20</v>
      </c>
      <c r="R42" s="4" t="s">
        <v>103</v>
      </c>
      <c r="S42" t="s">
        <v>104</v>
      </c>
    </row>
    <row r="43" spans="1:19" ht="15" customHeight="1" x14ac:dyDescent="0.25">
      <c r="A43" t="s">
        <v>71</v>
      </c>
      <c r="B43" t="s">
        <v>92</v>
      </c>
      <c r="C43" t="s">
        <v>89</v>
      </c>
      <c r="D43" t="s">
        <v>25</v>
      </c>
      <c r="E43" t="s">
        <v>41</v>
      </c>
      <c r="F43" t="s">
        <v>48</v>
      </c>
      <c r="G43" t="s">
        <v>25</v>
      </c>
      <c r="H43" t="s">
        <v>25</v>
      </c>
      <c r="I43" t="str">
        <f t="shared" si="0"/>
        <v>/output/TS1/S2/Bert2Bert/GPU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</row>
    <row r="45" spans="1:19" ht="15" customHeight="1" x14ac:dyDescent="0.25">
      <c r="A45" t="s">
        <v>71</v>
      </c>
      <c r="B45" t="s">
        <v>105</v>
      </c>
      <c r="C45" t="s">
        <v>73</v>
      </c>
      <c r="D45" s="3">
        <v>45959</v>
      </c>
      <c r="E45" t="s">
        <v>54</v>
      </c>
      <c r="F45" t="s">
        <v>23</v>
      </c>
      <c r="G45" t="str">
        <f t="shared" si="1"/>
        <v>/code/TS1-S3</v>
      </c>
      <c r="H45" t="s">
        <v>74</v>
      </c>
      <c r="I45" t="str">
        <f t="shared" si="0"/>
        <v>/output/TS1/S3/LexRank/CPU</v>
      </c>
      <c r="J45">
        <v>283.303837112</v>
      </c>
      <c r="K45">
        <v>4.7359999999999998E-3</v>
      </c>
      <c r="L45">
        <v>2.555E-3</v>
      </c>
      <c r="M45">
        <v>32.5</v>
      </c>
      <c r="N45" t="s">
        <v>25</v>
      </c>
      <c r="O45" t="s">
        <v>25</v>
      </c>
      <c r="P45">
        <v>1.57E-3</v>
      </c>
      <c r="Q45">
        <v>20</v>
      </c>
      <c r="R45" s="4" t="s">
        <v>106</v>
      </c>
      <c r="S45" t="s">
        <v>107</v>
      </c>
    </row>
    <row r="46" spans="1:19" ht="15" customHeight="1" x14ac:dyDescent="0.25">
      <c r="A46" t="s">
        <v>71</v>
      </c>
      <c r="B46" t="s">
        <v>105</v>
      </c>
      <c r="C46" t="s">
        <v>77</v>
      </c>
      <c r="D46" s="3">
        <v>45959</v>
      </c>
      <c r="E46" t="s">
        <v>54</v>
      </c>
      <c r="F46" t="s">
        <v>23</v>
      </c>
      <c r="G46" t="str">
        <f t="shared" si="1"/>
        <v>/code/TS1-S3</v>
      </c>
      <c r="H46" t="s">
        <v>74</v>
      </c>
      <c r="I46" t="str">
        <f t="shared" si="0"/>
        <v>/output/TS1/S3/TextRank/CPU</v>
      </c>
      <c r="J46">
        <v>242.360415123</v>
      </c>
      <c r="K46">
        <v>4.0850000000000001E-3</v>
      </c>
      <c r="L46">
        <v>2.1849999999999999E-3</v>
      </c>
      <c r="M46">
        <v>32.5</v>
      </c>
      <c r="N46" t="s">
        <v>25</v>
      </c>
      <c r="O46" t="s">
        <v>25</v>
      </c>
      <c r="P46">
        <v>1.343E-3</v>
      </c>
      <c r="Q46">
        <v>20</v>
      </c>
      <c r="R46" s="4" t="s">
        <v>108</v>
      </c>
      <c r="S46" t="s">
        <v>109</v>
      </c>
    </row>
    <row r="47" spans="1:19" ht="15" customHeight="1" x14ac:dyDescent="0.25">
      <c r="A47" t="s">
        <v>71</v>
      </c>
      <c r="B47" t="s">
        <v>105</v>
      </c>
      <c r="C47" t="s">
        <v>80</v>
      </c>
      <c r="D47" s="3">
        <v>45968</v>
      </c>
      <c r="E47" t="s">
        <v>54</v>
      </c>
      <c r="F47" t="s">
        <v>23</v>
      </c>
      <c r="G47" t="str">
        <f t="shared" si="1"/>
        <v>/code/TS1-S3</v>
      </c>
      <c r="H47" t="s">
        <v>74</v>
      </c>
      <c r="I47" t="str">
        <f t="shared" si="0"/>
        <v>/output/TS1/S3/T5/CPU</v>
      </c>
      <c r="J47">
        <v>4284.718199035</v>
      </c>
      <c r="K47">
        <v>6.2484999999999999E-2</v>
      </c>
      <c r="L47">
        <v>3.8682000000000001E-2</v>
      </c>
      <c r="M47">
        <v>32.5</v>
      </c>
      <c r="N47" t="s">
        <v>25</v>
      </c>
      <c r="O47" t="s">
        <v>25</v>
      </c>
      <c r="P47">
        <v>2.3803000000000001E-2</v>
      </c>
      <c r="Q47">
        <v>20</v>
      </c>
      <c r="R47" s="4" t="s">
        <v>110</v>
      </c>
      <c r="S47" t="s">
        <v>111</v>
      </c>
    </row>
    <row r="48" spans="1:19" ht="15" customHeight="1" x14ac:dyDescent="0.25">
      <c r="A48" t="s">
        <v>71</v>
      </c>
      <c r="B48" t="s">
        <v>105</v>
      </c>
      <c r="C48" t="s">
        <v>80</v>
      </c>
      <c r="D48" s="3">
        <v>45959</v>
      </c>
      <c r="E48" t="s">
        <v>54</v>
      </c>
      <c r="F48" t="s">
        <v>48</v>
      </c>
      <c r="G48" t="str">
        <f t="shared" si="1"/>
        <v>/code/TS1-S3</v>
      </c>
      <c r="H48" t="s">
        <v>74</v>
      </c>
      <c r="I48" t="str">
        <f t="shared" si="0"/>
        <v>/output/TS1/S3/T5/GPU</v>
      </c>
      <c r="J48">
        <v>2386.3087828129901</v>
      </c>
      <c r="K48">
        <v>6.6207000000000002E-2</v>
      </c>
      <c r="L48">
        <v>2.1543E-2</v>
      </c>
      <c r="M48">
        <v>32.5</v>
      </c>
      <c r="N48">
        <v>3.1407999999999998E-2</v>
      </c>
      <c r="O48">
        <v>61.822716495895101</v>
      </c>
      <c r="P48">
        <v>1.3256E-2</v>
      </c>
      <c r="Q48">
        <v>20</v>
      </c>
      <c r="R48" s="4" t="s">
        <v>112</v>
      </c>
      <c r="S48" t="s">
        <v>113</v>
      </c>
    </row>
    <row r="49" spans="1:19" ht="15" customHeight="1" x14ac:dyDescent="0.25">
      <c r="A49" t="s">
        <v>71</v>
      </c>
      <c r="B49" t="s">
        <v>105</v>
      </c>
      <c r="C49" t="s">
        <v>83</v>
      </c>
      <c r="D49" s="3">
        <v>45968</v>
      </c>
      <c r="E49" t="s">
        <v>54</v>
      </c>
      <c r="F49" t="s">
        <v>23</v>
      </c>
      <c r="G49" t="str">
        <f t="shared" si="1"/>
        <v>/code/TS1-S3</v>
      </c>
      <c r="H49" t="s">
        <v>74</v>
      </c>
      <c r="I49" t="str">
        <f t="shared" si="0"/>
        <v>/output/TS1/S3/Pegasus/CPU</v>
      </c>
      <c r="J49">
        <v>8900.7688035200008</v>
      </c>
      <c r="K49">
        <v>0.12978500000000001</v>
      </c>
      <c r="L49">
        <v>8.0347000000000002E-2</v>
      </c>
      <c r="M49">
        <v>32.5</v>
      </c>
      <c r="N49" t="s">
        <v>25</v>
      </c>
      <c r="O49" t="s">
        <v>25</v>
      </c>
      <c r="P49">
        <v>4.9438000000000003E-2</v>
      </c>
      <c r="Q49">
        <v>20</v>
      </c>
      <c r="R49" s="4" t="s">
        <v>114</v>
      </c>
      <c r="S49" t="s">
        <v>115</v>
      </c>
    </row>
    <row r="50" spans="1:19" ht="15" customHeight="1" x14ac:dyDescent="0.25">
      <c r="A50" t="s">
        <v>71</v>
      </c>
      <c r="B50" t="s">
        <v>105</v>
      </c>
      <c r="C50" t="s">
        <v>83</v>
      </c>
      <c r="D50" s="3">
        <v>45967</v>
      </c>
      <c r="E50" t="s">
        <v>54</v>
      </c>
      <c r="F50" t="s">
        <v>48</v>
      </c>
      <c r="G50" t="str">
        <f t="shared" si="1"/>
        <v>/code/TS1-S3</v>
      </c>
      <c r="H50" t="s">
        <v>74</v>
      </c>
      <c r="I50" t="str">
        <f t="shared" si="0"/>
        <v>/output/TS1/S3/Pegasus/GPU</v>
      </c>
      <c r="J50">
        <v>3652.6855469779998</v>
      </c>
      <c r="K50">
        <v>0.10591299999999999</v>
      </c>
      <c r="L50">
        <v>3.2960000000000003E-2</v>
      </c>
      <c r="M50">
        <v>32.5</v>
      </c>
      <c r="N50">
        <v>5.2676000000000001E-2</v>
      </c>
      <c r="O50">
        <v>56.857745668064297</v>
      </c>
      <c r="P50">
        <v>2.0275999999999999E-2</v>
      </c>
      <c r="Q50">
        <v>20</v>
      </c>
      <c r="R50" s="4" t="s">
        <v>116</v>
      </c>
      <c r="S50" t="s">
        <v>117</v>
      </c>
    </row>
    <row r="51" spans="1:19" ht="15" customHeight="1" x14ac:dyDescent="0.25">
      <c r="A51" t="s">
        <v>71</v>
      </c>
      <c r="B51" t="s">
        <v>105</v>
      </c>
      <c r="C51" t="s">
        <v>86</v>
      </c>
      <c r="D51" s="3">
        <v>45968</v>
      </c>
      <c r="E51" t="s">
        <v>54</v>
      </c>
      <c r="F51" t="s">
        <v>23</v>
      </c>
      <c r="G51" t="str">
        <f t="shared" si="1"/>
        <v>/code/TS1-S3</v>
      </c>
      <c r="H51" t="s">
        <v>74</v>
      </c>
      <c r="I51" t="str">
        <f t="shared" si="0"/>
        <v>/output/TS1/S3/MT5/CPU</v>
      </c>
      <c r="J51">
        <v>5648.9551871949898</v>
      </c>
      <c r="K51">
        <v>8.2352999999999996E-2</v>
      </c>
      <c r="L51">
        <v>5.0992000000000003E-2</v>
      </c>
      <c r="M51">
        <v>32.5</v>
      </c>
      <c r="N51" t="s">
        <v>25</v>
      </c>
      <c r="O51" t="s">
        <v>25</v>
      </c>
      <c r="P51">
        <v>3.1361E-2</v>
      </c>
      <c r="Q51">
        <v>20</v>
      </c>
      <c r="R51" s="4" t="s">
        <v>118</v>
      </c>
      <c r="S51" t="s">
        <v>119</v>
      </c>
    </row>
    <row r="52" spans="1:19" ht="15" customHeight="1" x14ac:dyDescent="0.25">
      <c r="A52" t="s">
        <v>71</v>
      </c>
      <c r="B52" t="s">
        <v>105</v>
      </c>
      <c r="C52" t="s">
        <v>86</v>
      </c>
      <c r="D52" s="3">
        <v>45959</v>
      </c>
      <c r="E52" t="s">
        <v>54</v>
      </c>
      <c r="F52" t="s">
        <v>48</v>
      </c>
      <c r="G52" t="str">
        <f t="shared" si="1"/>
        <v>/code/TS1-S3</v>
      </c>
      <c r="H52" t="s">
        <v>74</v>
      </c>
      <c r="I52" t="str">
        <f t="shared" si="0"/>
        <v>/output/TS1/S3/MT5/GPU</v>
      </c>
      <c r="J52">
        <v>3772.9287908319998</v>
      </c>
      <c r="K52">
        <v>9.2113E-2</v>
      </c>
      <c r="L52">
        <v>3.4042999999999997E-2</v>
      </c>
      <c r="M52">
        <v>32.5</v>
      </c>
      <c r="N52">
        <v>3.7144000000000003E-2</v>
      </c>
      <c r="O52">
        <v>37.009595699671699</v>
      </c>
      <c r="P52">
        <v>2.0926E-2</v>
      </c>
      <c r="Q52">
        <v>20</v>
      </c>
      <c r="R52" s="4" t="s">
        <v>120</v>
      </c>
      <c r="S52" t="s">
        <v>121</v>
      </c>
    </row>
    <row r="53" spans="1:19" ht="15" customHeight="1" x14ac:dyDescent="0.25">
      <c r="A53" t="s">
        <v>71</v>
      </c>
      <c r="B53" t="s">
        <v>105</v>
      </c>
      <c r="C53" t="s">
        <v>89</v>
      </c>
      <c r="D53" s="3">
        <v>45968</v>
      </c>
      <c r="E53" t="s">
        <v>54</v>
      </c>
      <c r="F53" t="s">
        <v>23</v>
      </c>
      <c r="G53" t="str">
        <f t="shared" si="1"/>
        <v>/code/TS1-S3</v>
      </c>
      <c r="H53" t="s">
        <v>74</v>
      </c>
      <c r="I53" t="str">
        <f t="shared" si="0"/>
        <v>/output/TS1/S3/Bert2Bert/CPU</v>
      </c>
      <c r="J53">
        <v>4098.8777732769904</v>
      </c>
      <c r="K53">
        <v>5.9775000000000002E-2</v>
      </c>
      <c r="L53">
        <v>3.7004000000000002E-2</v>
      </c>
      <c r="M53">
        <v>32.5</v>
      </c>
      <c r="N53" t="s">
        <v>25</v>
      </c>
      <c r="O53" t="s">
        <v>25</v>
      </c>
      <c r="P53">
        <v>2.2771E-2</v>
      </c>
      <c r="Q53">
        <v>20</v>
      </c>
      <c r="R53" s="4" t="s">
        <v>122</v>
      </c>
      <c r="S53" t="s">
        <v>123</v>
      </c>
    </row>
    <row r="54" spans="1:19" ht="15" customHeight="1" x14ac:dyDescent="0.25">
      <c r="A54" t="s">
        <v>71</v>
      </c>
      <c r="B54" t="s">
        <v>105</v>
      </c>
      <c r="C54" t="s">
        <v>89</v>
      </c>
      <c r="D54" s="3">
        <v>45967</v>
      </c>
      <c r="E54" t="s">
        <v>54</v>
      </c>
      <c r="F54" t="s">
        <v>48</v>
      </c>
      <c r="G54" t="str">
        <f t="shared" si="1"/>
        <v>/code/TS1-S3</v>
      </c>
      <c r="H54" t="s">
        <v>74</v>
      </c>
      <c r="I54" t="str">
        <f t="shared" si="0"/>
        <v>/output/TS1/S3/Bert2Bert/GPU</v>
      </c>
      <c r="J54">
        <v>2966.27750796399</v>
      </c>
      <c r="K54">
        <v>7.3066999999999993E-2</v>
      </c>
      <c r="L54">
        <v>2.6778E-2</v>
      </c>
      <c r="M54">
        <v>32.5</v>
      </c>
      <c r="N54">
        <v>2.9811000000000001E-2</v>
      </c>
      <c r="O54">
        <v>37.047683800526301</v>
      </c>
      <c r="P54">
        <v>1.6478E-2</v>
      </c>
      <c r="Q54">
        <v>20</v>
      </c>
      <c r="R54" s="4" t="s">
        <v>124</v>
      </c>
      <c r="S54" t="s">
        <v>125</v>
      </c>
    </row>
    <row r="57" spans="1:19" ht="15" customHeight="1" x14ac:dyDescent="0.25">
      <c r="A57" t="s">
        <v>126</v>
      </c>
      <c r="B57" t="s">
        <v>127</v>
      </c>
      <c r="C57" t="s">
        <v>73</v>
      </c>
      <c r="D57" s="3">
        <v>45943</v>
      </c>
      <c r="E57" t="s">
        <v>22</v>
      </c>
      <c r="F57" t="s">
        <v>23</v>
      </c>
      <c r="G57" t="str">
        <f>"/code/TS2-"&amp;E57&amp;"/lex"</f>
        <v>/code/TS2-S1/lex</v>
      </c>
      <c r="H57" t="s">
        <v>128</v>
      </c>
      <c r="I57" t="str">
        <f t="shared" si="0"/>
        <v>/output/TS2/S1/LexRank/CPU</v>
      </c>
      <c r="J57">
        <v>91.010171515997996</v>
      </c>
      <c r="K57">
        <v>5.9599999999999996E-4</v>
      </c>
      <c r="L57">
        <v>3.48E-4</v>
      </c>
      <c r="M57">
        <v>14</v>
      </c>
      <c r="N57" t="s">
        <v>25</v>
      </c>
      <c r="O57" t="s">
        <v>25</v>
      </c>
      <c r="P57">
        <v>2.4800000000000001E-4</v>
      </c>
      <c r="Q57">
        <v>10</v>
      </c>
      <c r="R57" s="4" t="s">
        <v>129</v>
      </c>
      <c r="S57" t="s">
        <v>130</v>
      </c>
    </row>
    <row r="58" spans="1:19" ht="15" customHeight="1" x14ac:dyDescent="0.25">
      <c r="A58" t="s">
        <v>126</v>
      </c>
      <c r="B58" t="s">
        <v>127</v>
      </c>
      <c r="C58" t="s">
        <v>131</v>
      </c>
      <c r="D58" s="3">
        <v>45943</v>
      </c>
      <c r="E58" t="s">
        <v>22</v>
      </c>
      <c r="F58" t="s">
        <v>23</v>
      </c>
      <c r="G58" t="str">
        <f>"/code/TS2-"&amp;E58&amp;"/bert2bert"</f>
        <v>/code/TS2-S1/bert2bert</v>
      </c>
      <c r="H58" t="s">
        <v>128</v>
      </c>
      <c r="I58" t="str">
        <f t="shared" si="0"/>
        <v>/output/TS2/S1/Bert/CPU</v>
      </c>
      <c r="J58">
        <v>3048.9736754629998</v>
      </c>
      <c r="K58">
        <v>2.0315E-2</v>
      </c>
      <c r="L58">
        <v>1.1851E-2</v>
      </c>
      <c r="M58">
        <v>14</v>
      </c>
      <c r="N58" t="s">
        <v>25</v>
      </c>
      <c r="O58" t="s">
        <v>25</v>
      </c>
      <c r="P58">
        <v>8.4639999999999993E-3</v>
      </c>
      <c r="Q58">
        <v>10</v>
      </c>
      <c r="R58" s="4" t="s">
        <v>132</v>
      </c>
      <c r="S58" t="s">
        <v>133</v>
      </c>
    </row>
    <row r="59" spans="1:19" ht="15" customHeight="1" x14ac:dyDescent="0.25">
      <c r="A59" t="s">
        <v>126</v>
      </c>
      <c r="B59" t="s">
        <v>127</v>
      </c>
      <c r="C59" t="s">
        <v>134</v>
      </c>
      <c r="D59" s="3">
        <v>45975</v>
      </c>
      <c r="E59" t="s">
        <v>22</v>
      </c>
      <c r="F59" t="s">
        <v>23</v>
      </c>
      <c r="G59" t="str">
        <f>"/code/TS2-"&amp;E59&amp;"/mlong"</f>
        <v>/code/TS2-S1/mlong</v>
      </c>
      <c r="H59" t="s">
        <v>128</v>
      </c>
      <c r="I59" t="str">
        <f t="shared" si="0"/>
        <v>/output/TS2/S1/mLongT5/CPU</v>
      </c>
      <c r="J59">
        <v>57275.8886862379</v>
      </c>
      <c r="K59">
        <v>0.38181399999999999</v>
      </c>
      <c r="L59">
        <v>0.22272800000000001</v>
      </c>
      <c r="M59">
        <v>14</v>
      </c>
      <c r="N59" t="s">
        <v>25</v>
      </c>
      <c r="O59" t="s">
        <v>25</v>
      </c>
      <c r="P59">
        <v>0.15908600000000001</v>
      </c>
      <c r="Q59">
        <v>10</v>
      </c>
      <c r="R59" s="4" t="s">
        <v>135</v>
      </c>
      <c r="S59" t="s">
        <v>136</v>
      </c>
    </row>
    <row r="60" spans="1:19" ht="15" customHeight="1" x14ac:dyDescent="0.25">
      <c r="A60" t="s">
        <v>126</v>
      </c>
      <c r="B60" t="s">
        <v>127</v>
      </c>
      <c r="C60" t="s">
        <v>137</v>
      </c>
      <c r="D60" s="3">
        <v>45950</v>
      </c>
      <c r="E60" t="s">
        <v>22</v>
      </c>
      <c r="F60" t="s">
        <v>23</v>
      </c>
      <c r="G60" t="str">
        <f>"/code/TS2-"&amp;E60&amp;"/mixtral"</f>
        <v>/code/TS2-S1/mixtral</v>
      </c>
      <c r="H60" t="s">
        <v>128</v>
      </c>
      <c r="I60" t="str">
        <f t="shared" si="0"/>
        <v>/output/TS2/S1/Mistral/CPU</v>
      </c>
      <c r="J60">
        <v>252902.22868269999</v>
      </c>
      <c r="K60">
        <v>9.2725783850394006</v>
      </c>
      <c r="L60">
        <v>7.8676880000000002</v>
      </c>
      <c r="M60">
        <v>120</v>
      </c>
      <c r="N60" t="s">
        <v>25</v>
      </c>
      <c r="O60" t="s">
        <v>25</v>
      </c>
      <c r="P60">
        <v>1.4048909999999999</v>
      </c>
      <c r="Q60">
        <v>20</v>
      </c>
      <c r="R60" s="4" t="s">
        <v>138</v>
      </c>
      <c r="S60" t="s">
        <v>139</v>
      </c>
    </row>
    <row r="62" spans="1:19" ht="15" customHeight="1" x14ac:dyDescent="0.25">
      <c r="A62" t="s">
        <v>126</v>
      </c>
      <c r="B62" t="s">
        <v>140</v>
      </c>
      <c r="C62" t="s">
        <v>73</v>
      </c>
      <c r="D62" s="3">
        <v>45964</v>
      </c>
      <c r="E62" t="s">
        <v>41</v>
      </c>
      <c r="F62" t="s">
        <v>23</v>
      </c>
      <c r="G62" t="str">
        <f t="shared" ref="G62:G70" si="2">"/code/TS2-"&amp;E62&amp;"/lex"</f>
        <v>/code/TS2-S2/lex</v>
      </c>
      <c r="H62" t="s">
        <v>128</v>
      </c>
      <c r="I62" t="str">
        <f t="shared" si="0"/>
        <v>/output/TS2/S2/LexRank/CPU</v>
      </c>
      <c r="J62">
        <v>98.863055540000005</v>
      </c>
      <c r="K62">
        <v>1.4189999999999999E-3</v>
      </c>
      <c r="L62">
        <v>8.7900000000000001E-4</v>
      </c>
      <c r="M62">
        <v>32.5</v>
      </c>
      <c r="N62" t="s">
        <v>25</v>
      </c>
      <c r="O62" t="s">
        <v>25</v>
      </c>
      <c r="P62">
        <v>5.4100000000000003E-4</v>
      </c>
      <c r="Q62">
        <v>20</v>
      </c>
      <c r="R62" s="4" t="s">
        <v>141</v>
      </c>
      <c r="S62" t="s">
        <v>142</v>
      </c>
    </row>
    <row r="63" spans="1:19" ht="15" customHeight="1" x14ac:dyDescent="0.25">
      <c r="A63" t="s">
        <v>126</v>
      </c>
      <c r="B63" t="s">
        <v>140</v>
      </c>
      <c r="C63" t="s">
        <v>131</v>
      </c>
      <c r="D63" s="3">
        <v>45944</v>
      </c>
      <c r="E63" t="s">
        <v>41</v>
      </c>
      <c r="F63" t="s">
        <v>23</v>
      </c>
      <c r="G63" t="str">
        <f>"/code/TS2-"&amp;E63&amp;"/bert2bert"</f>
        <v>/code/TS2-S2/bert2bert</v>
      </c>
      <c r="H63" t="s">
        <v>128</v>
      </c>
      <c r="I63" t="str">
        <f t="shared" si="0"/>
        <v>/output/TS2/S2/Bert/CPU</v>
      </c>
      <c r="J63">
        <v>2963.4571180989901</v>
      </c>
      <c r="K63">
        <v>4.3194000000000003E-2</v>
      </c>
      <c r="L63">
        <v>2.6738999999999999E-2</v>
      </c>
      <c r="M63">
        <v>32.5</v>
      </c>
      <c r="N63" t="s">
        <v>25</v>
      </c>
      <c r="O63" t="s">
        <v>25</v>
      </c>
      <c r="P63">
        <v>1.6454E-2</v>
      </c>
      <c r="Q63">
        <v>20</v>
      </c>
      <c r="R63" s="4" t="s">
        <v>143</v>
      </c>
      <c r="S63" t="s">
        <v>144</v>
      </c>
    </row>
    <row r="64" spans="1:19" ht="15" customHeight="1" x14ac:dyDescent="0.25">
      <c r="A64" t="s">
        <v>126</v>
      </c>
      <c r="B64" t="s">
        <v>140</v>
      </c>
      <c r="C64" t="s">
        <v>131</v>
      </c>
      <c r="D64" t="s">
        <v>25</v>
      </c>
      <c r="E64" t="s">
        <v>41</v>
      </c>
      <c r="F64" t="s">
        <v>48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</row>
    <row r="65" spans="1:19" ht="15" customHeight="1" x14ac:dyDescent="0.25">
      <c r="A65" t="s">
        <v>126</v>
      </c>
      <c r="B65" t="s">
        <v>140</v>
      </c>
      <c r="C65" t="s">
        <v>134</v>
      </c>
      <c r="D65" s="3">
        <v>45975</v>
      </c>
      <c r="E65" t="s">
        <v>41</v>
      </c>
      <c r="F65" t="s">
        <v>23</v>
      </c>
      <c r="G65" t="str">
        <f>"/code/TS2-"&amp;E65&amp;"/mlong"</f>
        <v>/code/TS2-S2/mlong</v>
      </c>
      <c r="H65" t="s">
        <v>128</v>
      </c>
      <c r="I65" t="str">
        <f t="shared" si="0"/>
        <v>/output/TS2/S2/mLongT5/CPU</v>
      </c>
      <c r="J65">
        <v>24335.959905432999</v>
      </c>
      <c r="K65">
        <v>0.35486699999999999</v>
      </c>
      <c r="L65">
        <v>0.21968199999999999</v>
      </c>
      <c r="M65">
        <v>32.5</v>
      </c>
      <c r="N65" t="s">
        <v>25</v>
      </c>
      <c r="O65" t="s">
        <v>25</v>
      </c>
      <c r="P65">
        <v>0.135185</v>
      </c>
      <c r="Q65">
        <v>20</v>
      </c>
      <c r="R65" s="4" t="s">
        <v>145</v>
      </c>
      <c r="S65" t="s">
        <v>146</v>
      </c>
    </row>
    <row r="66" spans="1:19" ht="15" customHeight="1" x14ac:dyDescent="0.25">
      <c r="A66" t="s">
        <v>126</v>
      </c>
      <c r="B66" t="s">
        <v>140</v>
      </c>
      <c r="C66" t="s">
        <v>134</v>
      </c>
      <c r="D66" t="s">
        <v>25</v>
      </c>
      <c r="E66" t="s">
        <v>41</v>
      </c>
      <c r="F66" t="s">
        <v>48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</row>
    <row r="67" spans="1:19" ht="15" customHeight="1" x14ac:dyDescent="0.25">
      <c r="A67" t="s">
        <v>126</v>
      </c>
      <c r="B67" t="s">
        <v>140</v>
      </c>
      <c r="C67" t="s">
        <v>137</v>
      </c>
      <c r="D67" s="3">
        <v>45967</v>
      </c>
      <c r="E67" t="s">
        <v>41</v>
      </c>
      <c r="F67" t="s">
        <v>23</v>
      </c>
      <c r="G67" t="str">
        <f>"/code/TS2-"&amp;E67&amp;"/mixtral"</f>
        <v>/code/TS2-S2/mixtral</v>
      </c>
      <c r="H67" t="s">
        <v>128</v>
      </c>
      <c r="I67" t="str">
        <f t="shared" ref="I67:I130" si="3">"/output/"&amp;B67&amp;"/"&amp;C67&amp;"/"&amp;F67</f>
        <v>/output/TS2/S2/Mistral/CPU</v>
      </c>
      <c r="J67">
        <v>124585.94871110001</v>
      </c>
      <c r="K67">
        <v>9.6885820000000002</v>
      </c>
      <c r="L67">
        <v>8.996556</v>
      </c>
      <c r="M67">
        <v>260</v>
      </c>
      <c r="P67">
        <v>0.692025</v>
      </c>
      <c r="Q67">
        <v>20</v>
      </c>
      <c r="R67" s="4" t="s">
        <v>147</v>
      </c>
      <c r="S67" t="s">
        <v>148</v>
      </c>
    </row>
    <row r="68" spans="1:19" ht="15" customHeight="1" x14ac:dyDescent="0.25">
      <c r="A68" t="s">
        <v>126</v>
      </c>
      <c r="B68" t="s">
        <v>140</v>
      </c>
      <c r="C68" t="s">
        <v>137</v>
      </c>
      <c r="D68" s="3">
        <v>46028</v>
      </c>
      <c r="E68" t="s">
        <v>41</v>
      </c>
      <c r="F68" t="s">
        <v>48</v>
      </c>
      <c r="G68" t="str">
        <f>"/code/TS2-"&amp;E68&amp;"/mixtral"</f>
        <v>/code/TS2-S2/mixtral</v>
      </c>
      <c r="H68" t="s">
        <v>128</v>
      </c>
      <c r="I68" t="str">
        <f t="shared" si="3"/>
        <v>/output/TS2/S2/Mistral/GPU</v>
      </c>
      <c r="J68">
        <v>71435.425405399903</v>
      </c>
      <c r="K68">
        <v>5.5552609999999998</v>
      </c>
      <c r="L68">
        <v>5.1584659999999998</v>
      </c>
      <c r="M68">
        <v>260</v>
      </c>
      <c r="N68" t="s">
        <v>25</v>
      </c>
      <c r="O68" t="s">
        <v>25</v>
      </c>
      <c r="P68">
        <v>0.39679500000000001</v>
      </c>
      <c r="Q68">
        <v>20</v>
      </c>
      <c r="R68" s="4" t="s">
        <v>304</v>
      </c>
      <c r="S68" t="s">
        <v>305</v>
      </c>
    </row>
    <row r="70" spans="1:19" ht="15" customHeight="1" x14ac:dyDescent="0.25">
      <c r="A70" t="s">
        <v>126</v>
      </c>
      <c r="B70" t="s">
        <v>149</v>
      </c>
      <c r="C70" t="s">
        <v>73</v>
      </c>
      <c r="D70" s="3">
        <v>45943</v>
      </c>
      <c r="E70" t="s">
        <v>54</v>
      </c>
      <c r="F70" t="s">
        <v>23</v>
      </c>
      <c r="G70" t="str">
        <f t="shared" si="2"/>
        <v>/code/TS2-S3/lex</v>
      </c>
      <c r="H70" t="s">
        <v>128</v>
      </c>
      <c r="I70" t="str">
        <f t="shared" si="3"/>
        <v>/output/TS2/S3/LexRank/CPU</v>
      </c>
      <c r="J70">
        <v>63.4280409269995</v>
      </c>
      <c r="K70">
        <v>9.0300000000000005E-4</v>
      </c>
      <c r="L70">
        <v>5.5900000000000004E-4</v>
      </c>
      <c r="M70">
        <v>32.5</v>
      </c>
      <c r="N70" t="s">
        <v>25</v>
      </c>
      <c r="O70" t="s">
        <v>25</v>
      </c>
      <c r="P70">
        <v>3.4400000000000001E-4</v>
      </c>
      <c r="Q70">
        <v>20</v>
      </c>
      <c r="R70" s="4" t="s">
        <v>150</v>
      </c>
      <c r="S70" t="s">
        <v>151</v>
      </c>
    </row>
    <row r="71" spans="1:19" ht="15" customHeight="1" x14ac:dyDescent="0.25">
      <c r="A71" t="s">
        <v>126</v>
      </c>
      <c r="B71" t="s">
        <v>149</v>
      </c>
      <c r="C71" t="s">
        <v>131</v>
      </c>
      <c r="D71" s="3">
        <v>45943</v>
      </c>
      <c r="E71" t="s">
        <v>54</v>
      </c>
      <c r="F71" t="s">
        <v>23</v>
      </c>
      <c r="G71" t="str">
        <f>"/code/TS2-"&amp;E71&amp;"/bert2bert"</f>
        <v>/code/TS2-S3/bert2bert</v>
      </c>
      <c r="H71" t="s">
        <v>128</v>
      </c>
      <c r="I71" t="str">
        <f t="shared" si="3"/>
        <v>/output/TS2/S3/Bert/CPU</v>
      </c>
      <c r="J71">
        <v>1480.9923544119999</v>
      </c>
      <c r="K71">
        <v>2.1576000000000001E-2</v>
      </c>
      <c r="L71">
        <v>1.3356E-2</v>
      </c>
      <c r="M71">
        <v>32.5</v>
      </c>
      <c r="N71" t="s">
        <v>25</v>
      </c>
      <c r="O71" t="s">
        <v>25</v>
      </c>
      <c r="P71">
        <v>8.2190000000000006E-3</v>
      </c>
      <c r="Q71">
        <v>20</v>
      </c>
      <c r="R71" s="4" t="s">
        <v>152</v>
      </c>
      <c r="S71" t="s">
        <v>153</v>
      </c>
    </row>
    <row r="72" spans="1:19" ht="15" customHeight="1" x14ac:dyDescent="0.25">
      <c r="A72" t="s">
        <v>126</v>
      </c>
      <c r="B72" t="s">
        <v>149</v>
      </c>
      <c r="C72" t="s">
        <v>131</v>
      </c>
      <c r="D72" s="3">
        <v>45942</v>
      </c>
      <c r="E72" t="s">
        <v>54</v>
      </c>
      <c r="F72" t="s">
        <v>48</v>
      </c>
      <c r="G72" t="str">
        <f>"/code/TS2-"&amp;E72&amp;"/bert2bert"</f>
        <v>/code/TS2-S3/bert2bert</v>
      </c>
      <c r="H72" t="s">
        <v>128</v>
      </c>
      <c r="I72" t="str">
        <f t="shared" si="3"/>
        <v>/output/TS2/S3/Bert/GPU</v>
      </c>
      <c r="J72">
        <v>387.47260097399999</v>
      </c>
      <c r="K72">
        <v>1.4402E-2</v>
      </c>
      <c r="L72">
        <v>3.4840000000000001E-3</v>
      </c>
      <c r="M72">
        <v>32.5</v>
      </c>
      <c r="N72">
        <v>8.7740000000000005E-3</v>
      </c>
      <c r="O72">
        <v>81.222103156416196</v>
      </c>
      <c r="P72">
        <v>2.1440000000000001E-3</v>
      </c>
      <c r="Q72">
        <v>20</v>
      </c>
      <c r="R72" s="4" t="s">
        <v>154</v>
      </c>
      <c r="S72" t="s">
        <v>155</v>
      </c>
    </row>
    <row r="73" spans="1:19" ht="15" customHeight="1" x14ac:dyDescent="0.25">
      <c r="A73" t="s">
        <v>126</v>
      </c>
      <c r="B73" t="s">
        <v>149</v>
      </c>
      <c r="C73" t="s">
        <v>134</v>
      </c>
      <c r="D73" s="3">
        <v>45975</v>
      </c>
      <c r="E73" t="s">
        <v>54</v>
      </c>
      <c r="F73" t="s">
        <v>23</v>
      </c>
      <c r="G73" t="str">
        <f>"/code/TS2-"&amp;E73&amp;"/mlong"</f>
        <v>/code/TS2-S3/mlong</v>
      </c>
      <c r="H73" t="s">
        <v>128</v>
      </c>
      <c r="I73" t="str">
        <f t="shared" si="3"/>
        <v>/output/TS2/S3/mLongT5/CPU</v>
      </c>
      <c r="J73">
        <v>18414.631976744</v>
      </c>
      <c r="K73">
        <v>0.26851799999999998</v>
      </c>
      <c r="L73">
        <v>0.16622700000000001</v>
      </c>
      <c r="M73">
        <v>32.5</v>
      </c>
      <c r="N73" t="s">
        <v>25</v>
      </c>
      <c r="O73" t="s">
        <v>25</v>
      </c>
      <c r="P73">
        <v>0.10229100000000001</v>
      </c>
      <c r="Q73">
        <v>20</v>
      </c>
      <c r="R73" s="4" t="s">
        <v>156</v>
      </c>
      <c r="S73" t="s">
        <v>157</v>
      </c>
    </row>
    <row r="74" spans="1:19" ht="15" customHeight="1" x14ac:dyDescent="0.25">
      <c r="A74" t="s">
        <v>126</v>
      </c>
      <c r="B74" t="s">
        <v>149</v>
      </c>
      <c r="C74" t="s">
        <v>134</v>
      </c>
      <c r="D74" s="3">
        <v>45975</v>
      </c>
      <c r="E74" t="s">
        <v>54</v>
      </c>
      <c r="F74" t="s">
        <v>48</v>
      </c>
      <c r="G74" t="str">
        <f>"/code/TS2-"&amp;E74&amp;"/mlong"</f>
        <v>/code/TS2-S3/mlong</v>
      </c>
      <c r="H74" t="s">
        <v>128</v>
      </c>
      <c r="I74" t="str">
        <f t="shared" si="3"/>
        <v>/output/TS2/S3/mLongT5/GPU</v>
      </c>
      <c r="J74">
        <v>2209.0436586239898</v>
      </c>
      <c r="K74">
        <v>0.10384500000000001</v>
      </c>
      <c r="L74">
        <v>1.9927E-2</v>
      </c>
      <c r="M74">
        <v>32.5</v>
      </c>
      <c r="N74">
        <v>7.1654999999999996E-2</v>
      </c>
      <c r="O74">
        <v>110.54342300008101</v>
      </c>
      <c r="P74">
        <v>1.2263E-2</v>
      </c>
      <c r="Q74">
        <v>20</v>
      </c>
      <c r="R74" s="4" t="s">
        <v>158</v>
      </c>
      <c r="S74" t="s">
        <v>159</v>
      </c>
    </row>
    <row r="75" spans="1:19" ht="15" customHeight="1" x14ac:dyDescent="0.25">
      <c r="A75" t="s">
        <v>126</v>
      </c>
      <c r="B75" t="s">
        <v>149</v>
      </c>
      <c r="C75" t="s">
        <v>137</v>
      </c>
      <c r="D75" s="3">
        <v>45947</v>
      </c>
      <c r="E75" t="s">
        <v>54</v>
      </c>
      <c r="F75" t="s">
        <v>23</v>
      </c>
      <c r="G75" t="str">
        <f>"/code/TS2-"&amp;E75&amp;"/mixtral"</f>
        <v>/code/TS2-S3/mixtral</v>
      </c>
      <c r="H75" t="s">
        <v>128</v>
      </c>
      <c r="I75" t="str">
        <f t="shared" si="3"/>
        <v>/output/TS2/S3/Mistral/CPU</v>
      </c>
      <c r="J75">
        <v>42375.671860100003</v>
      </c>
      <c r="K75">
        <v>6.4461349999999999</v>
      </c>
      <c r="L75">
        <v>6.1198499999999996</v>
      </c>
      <c r="M75">
        <v>520</v>
      </c>
      <c r="N75" t="s">
        <v>25</v>
      </c>
      <c r="O75" t="s">
        <v>25</v>
      </c>
      <c r="P75">
        <v>0.235371</v>
      </c>
      <c r="Q75">
        <v>20</v>
      </c>
      <c r="R75" s="4" t="s">
        <v>160</v>
      </c>
      <c r="S75" t="s">
        <v>161</v>
      </c>
    </row>
    <row r="76" spans="1:19" ht="15" customHeight="1" x14ac:dyDescent="0.25">
      <c r="A76" t="s">
        <v>126</v>
      </c>
      <c r="B76" t="s">
        <v>149</v>
      </c>
      <c r="C76" t="s">
        <v>137</v>
      </c>
      <c r="D76" s="3">
        <v>45975</v>
      </c>
      <c r="E76" t="s">
        <v>54</v>
      </c>
      <c r="F76" t="s">
        <v>48</v>
      </c>
      <c r="G76" t="str">
        <f>"/code/TS2-"&amp;E76&amp;"/mixtral"</f>
        <v>/code/TS2-S3/mixtral</v>
      </c>
      <c r="H76" t="s">
        <v>128</v>
      </c>
      <c r="I76" t="str">
        <f t="shared" si="3"/>
        <v>/output/TS2/S3/Mistral/GPU</v>
      </c>
      <c r="J76" s="5">
        <v>11735.2418805999</v>
      </c>
      <c r="K76" s="5">
        <v>1.946502</v>
      </c>
      <c r="L76" s="5">
        <v>1.694644</v>
      </c>
      <c r="M76" s="5">
        <v>520</v>
      </c>
      <c r="N76" s="5">
        <v>0.18668199999999999</v>
      </c>
      <c r="O76" s="5">
        <v>51.354630070343497</v>
      </c>
      <c r="P76" s="5">
        <v>6.5175999999999998E-2</v>
      </c>
      <c r="Q76" s="5">
        <v>20</v>
      </c>
      <c r="R76" s="6" t="s">
        <v>162</v>
      </c>
      <c r="S76" s="5" t="s">
        <v>163</v>
      </c>
    </row>
    <row r="79" spans="1:19" ht="15" customHeight="1" x14ac:dyDescent="0.25">
      <c r="A79" t="s">
        <v>164</v>
      </c>
      <c r="B79" t="s">
        <v>165</v>
      </c>
      <c r="C79" t="s">
        <v>73</v>
      </c>
      <c r="D79" s="3">
        <v>45947</v>
      </c>
      <c r="E79" t="s">
        <v>22</v>
      </c>
      <c r="F79" t="s">
        <v>23</v>
      </c>
      <c r="G79" t="str">
        <f>"/code/TS3-"&amp;E79&amp;"/lexrank"</f>
        <v>/code/TS3-S1/lexrank</v>
      </c>
      <c r="H79" t="s">
        <v>166</v>
      </c>
      <c r="I79" t="str">
        <f t="shared" si="3"/>
        <v>/output/TS3/S1/LexRank/CPU</v>
      </c>
      <c r="J79">
        <v>1.77926535500046</v>
      </c>
      <c r="K79">
        <v>1.9999999999999999E-6</v>
      </c>
      <c r="L79">
        <v>9.9999999999999995E-7</v>
      </c>
      <c r="M79">
        <v>14</v>
      </c>
      <c r="N79" t="s">
        <v>25</v>
      </c>
      <c r="O79" t="s">
        <v>25</v>
      </c>
      <c r="P79">
        <v>9.9999999999999995E-7</v>
      </c>
      <c r="Q79">
        <v>10</v>
      </c>
      <c r="R79" s="4" t="s">
        <v>167</v>
      </c>
      <c r="S79" t="s">
        <v>168</v>
      </c>
    </row>
    <row r="80" spans="1:19" ht="15" customHeight="1" x14ac:dyDescent="0.25">
      <c r="A80" t="s">
        <v>164</v>
      </c>
      <c r="B80" t="s">
        <v>165</v>
      </c>
      <c r="C80" t="s">
        <v>73</v>
      </c>
      <c r="D80" s="3">
        <v>45947</v>
      </c>
      <c r="E80" t="s">
        <v>22</v>
      </c>
      <c r="F80" t="s">
        <v>23</v>
      </c>
      <c r="G80" t="str">
        <f t="shared" ref="G80:G83" si="4">"/code/TS3-"&amp;E80&amp;"/lexrank"</f>
        <v>/code/TS3-S1/lexrank</v>
      </c>
      <c r="H80" t="s">
        <v>169</v>
      </c>
      <c r="I80" t="str">
        <f t="shared" si="3"/>
        <v>/output/TS3/S1/LexRank/CPU</v>
      </c>
      <c r="J80">
        <v>1.6957754329996499</v>
      </c>
      <c r="K80">
        <v>9.9999999999999995E-7</v>
      </c>
      <c r="L80">
        <v>9.9999999999999995E-7</v>
      </c>
      <c r="M80">
        <v>14</v>
      </c>
      <c r="N80" t="s">
        <v>25</v>
      </c>
      <c r="O80" t="s">
        <v>25</v>
      </c>
      <c r="P80">
        <v>9.9999999999999995E-7</v>
      </c>
      <c r="Q80">
        <v>10</v>
      </c>
      <c r="R80" s="4" t="s">
        <v>170</v>
      </c>
      <c r="S80" t="s">
        <v>171</v>
      </c>
    </row>
    <row r="81" spans="1:19" ht="15" customHeight="1" x14ac:dyDescent="0.25">
      <c r="A81" t="s">
        <v>164</v>
      </c>
      <c r="B81" t="s">
        <v>165</v>
      </c>
      <c r="C81" t="s">
        <v>73</v>
      </c>
      <c r="D81" s="3">
        <v>45947</v>
      </c>
      <c r="E81" t="s">
        <v>22</v>
      </c>
      <c r="F81" t="s">
        <v>23</v>
      </c>
      <c r="G81" t="str">
        <f t="shared" si="4"/>
        <v>/code/TS3-S1/lexrank</v>
      </c>
      <c r="H81" t="s">
        <v>172</v>
      </c>
      <c r="I81" t="str">
        <f t="shared" si="3"/>
        <v>/output/TS3/S1/LexRank/CPU</v>
      </c>
      <c r="J81">
        <v>3.32307962099912</v>
      </c>
      <c r="K81">
        <v>1.1E-5</v>
      </c>
      <c r="L81">
        <v>6.0000000000000002E-6</v>
      </c>
      <c r="M81">
        <v>14</v>
      </c>
      <c r="N81" t="s">
        <v>25</v>
      </c>
      <c r="O81" t="s">
        <v>25</v>
      </c>
      <c r="P81">
        <v>5.0000000000000004E-6</v>
      </c>
      <c r="Q81">
        <v>10</v>
      </c>
      <c r="R81" s="4" t="s">
        <v>173</v>
      </c>
      <c r="S81" t="s">
        <v>174</v>
      </c>
    </row>
    <row r="82" spans="1:19" ht="15" customHeight="1" x14ac:dyDescent="0.25">
      <c r="A82" t="s">
        <v>164</v>
      </c>
      <c r="B82" t="s">
        <v>165</v>
      </c>
      <c r="C82" t="s">
        <v>73</v>
      </c>
      <c r="D82" s="3">
        <v>45947</v>
      </c>
      <c r="E82" t="s">
        <v>22</v>
      </c>
      <c r="F82" t="s">
        <v>23</v>
      </c>
      <c r="G82" t="str">
        <f t="shared" si="4"/>
        <v>/code/TS3-S1/lexrank</v>
      </c>
      <c r="H82" t="s">
        <v>175</v>
      </c>
      <c r="I82" t="str">
        <f t="shared" si="3"/>
        <v>/output/TS3/S1/LexRank/CPU</v>
      </c>
      <c r="J82">
        <v>3.71681327799979</v>
      </c>
      <c r="K82">
        <v>1.4E-5</v>
      </c>
      <c r="L82">
        <v>7.9999999999999996E-6</v>
      </c>
      <c r="M82">
        <v>14</v>
      </c>
      <c r="N82" t="s">
        <v>25</v>
      </c>
      <c r="O82" t="s">
        <v>25</v>
      </c>
      <c r="P82">
        <v>6.0000000000000002E-6</v>
      </c>
      <c r="Q82">
        <v>10</v>
      </c>
      <c r="R82" s="4" t="s">
        <v>176</v>
      </c>
      <c r="S82" t="s">
        <v>177</v>
      </c>
    </row>
    <row r="83" spans="1:19" ht="15" customHeight="1" x14ac:dyDescent="0.25">
      <c r="A83" t="s">
        <v>164</v>
      </c>
      <c r="B83" t="s">
        <v>165</v>
      </c>
      <c r="C83" t="s">
        <v>73</v>
      </c>
      <c r="D83" s="3">
        <v>45947</v>
      </c>
      <c r="E83" t="s">
        <v>22</v>
      </c>
      <c r="F83" t="s">
        <v>23</v>
      </c>
      <c r="G83" t="str">
        <f t="shared" si="4"/>
        <v>/code/TS3-S1/lexrank</v>
      </c>
      <c r="H83" t="s">
        <v>178</v>
      </c>
      <c r="I83" t="str">
        <f t="shared" si="3"/>
        <v>/output/TS3/S1/LexRank/CPU</v>
      </c>
      <c r="J83">
        <v>1.98883720899993</v>
      </c>
      <c r="K83">
        <v>3.0000000000000001E-6</v>
      </c>
      <c r="L83">
        <v>1.9999999999999999E-6</v>
      </c>
      <c r="M83">
        <v>14</v>
      </c>
      <c r="N83" t="s">
        <v>25</v>
      </c>
      <c r="O83" t="s">
        <v>25</v>
      </c>
      <c r="P83">
        <v>9.9999999999999995E-7</v>
      </c>
      <c r="Q83">
        <v>10</v>
      </c>
      <c r="R83" s="4" t="s">
        <v>179</v>
      </c>
      <c r="S83" t="s">
        <v>180</v>
      </c>
    </row>
    <row r="84" spans="1:19" ht="15" customHeight="1" x14ac:dyDescent="0.25">
      <c r="A84" t="s">
        <v>164</v>
      </c>
      <c r="B84" t="s">
        <v>165</v>
      </c>
      <c r="C84" t="s">
        <v>134</v>
      </c>
      <c r="D84" s="3">
        <v>45952</v>
      </c>
      <c r="E84" t="s">
        <v>22</v>
      </c>
      <c r="F84" t="s">
        <v>23</v>
      </c>
      <c r="G84" t="str">
        <f>"/code/TS3-"&amp;E84&amp;"/mlongt5"</f>
        <v>/code/TS3-S1/mlongt5</v>
      </c>
      <c r="H84" t="s">
        <v>166</v>
      </c>
      <c r="I84" t="str">
        <f t="shared" si="3"/>
        <v>/output/TS3/S1/mLongT5/CPU</v>
      </c>
      <c r="J84">
        <v>545.48165473300003</v>
      </c>
      <c r="K84">
        <v>3.627E-3</v>
      </c>
      <c r="L84">
        <v>2.1159999999999998E-3</v>
      </c>
      <c r="M84">
        <v>14</v>
      </c>
      <c r="N84" t="s">
        <v>25</v>
      </c>
      <c r="O84" t="s">
        <v>25</v>
      </c>
      <c r="P84">
        <v>1.511E-3</v>
      </c>
      <c r="Q84">
        <v>10</v>
      </c>
      <c r="R84" s="4" t="s">
        <v>181</v>
      </c>
      <c r="S84" t="s">
        <v>182</v>
      </c>
    </row>
    <row r="85" spans="1:19" ht="15" customHeight="1" x14ac:dyDescent="0.25">
      <c r="A85" t="s">
        <v>164</v>
      </c>
      <c r="B85" t="s">
        <v>165</v>
      </c>
      <c r="C85" t="s">
        <v>134</v>
      </c>
      <c r="D85" s="3">
        <v>45952</v>
      </c>
      <c r="E85" t="s">
        <v>22</v>
      </c>
      <c r="F85" t="s">
        <v>23</v>
      </c>
      <c r="G85" t="str">
        <f>"/code/TS3-"&amp;E85&amp;"/mlongt5"</f>
        <v>/code/TS3-S1/mlongt5</v>
      </c>
      <c r="H85" t="s">
        <v>169</v>
      </c>
      <c r="I85" t="str">
        <f t="shared" si="3"/>
        <v>/output/TS3/S1/mLongT5/CPU</v>
      </c>
      <c r="J85">
        <v>282.09489571199902</v>
      </c>
      <c r="K85">
        <v>1.8710000000000001E-3</v>
      </c>
      <c r="L85">
        <v>1.0920000000000001E-3</v>
      </c>
      <c r="M85">
        <v>14</v>
      </c>
      <c r="N85" t="s">
        <v>25</v>
      </c>
      <c r="O85" t="s">
        <v>25</v>
      </c>
      <c r="P85">
        <v>7.7999999999999999E-4</v>
      </c>
      <c r="Q85">
        <v>10</v>
      </c>
      <c r="R85" s="4" t="s">
        <v>183</v>
      </c>
      <c r="S85" t="s">
        <v>184</v>
      </c>
    </row>
    <row r="86" spans="1:19" ht="15" customHeight="1" x14ac:dyDescent="0.25">
      <c r="A86" t="s">
        <v>164</v>
      </c>
      <c r="B86" t="s">
        <v>165</v>
      </c>
      <c r="C86" t="s">
        <v>134</v>
      </c>
      <c r="D86" s="3">
        <v>45952</v>
      </c>
      <c r="E86" t="s">
        <v>22</v>
      </c>
      <c r="F86" t="s">
        <v>23</v>
      </c>
      <c r="G86" t="str">
        <f>"/code/TS3-"&amp;E86&amp;"/mlongt5"</f>
        <v>/code/TS3-S1/mlongt5</v>
      </c>
      <c r="H86" t="s">
        <v>172</v>
      </c>
      <c r="I86" t="str">
        <f t="shared" si="3"/>
        <v>/output/TS3/S1/mLongT5/CPU</v>
      </c>
      <c r="J86">
        <v>1329.8535665939901</v>
      </c>
      <c r="K86">
        <v>8.848E-3</v>
      </c>
      <c r="L86">
        <v>5.1640000000000002E-3</v>
      </c>
      <c r="M86">
        <v>14</v>
      </c>
      <c r="N86" t="s">
        <v>25</v>
      </c>
      <c r="O86" t="s">
        <v>25</v>
      </c>
      <c r="P86">
        <v>3.6840000000000002E-3</v>
      </c>
      <c r="Q86">
        <v>10</v>
      </c>
      <c r="R86" s="4" t="s">
        <v>185</v>
      </c>
      <c r="S86" t="s">
        <v>186</v>
      </c>
    </row>
    <row r="87" spans="1:19" ht="15" customHeight="1" x14ac:dyDescent="0.25">
      <c r="A87" t="s">
        <v>164</v>
      </c>
      <c r="B87" t="s">
        <v>165</v>
      </c>
      <c r="C87" t="s">
        <v>134</v>
      </c>
      <c r="D87" s="3">
        <v>45952</v>
      </c>
      <c r="E87" t="s">
        <v>22</v>
      </c>
      <c r="F87" t="s">
        <v>23</v>
      </c>
      <c r="G87" t="str">
        <f>"/code/TS3-"&amp;E87&amp;"/mlongt5"</f>
        <v>/code/TS3-S1/mlongt5</v>
      </c>
      <c r="H87" t="s">
        <v>175</v>
      </c>
      <c r="I87" t="str">
        <f t="shared" si="3"/>
        <v>/output/TS3/S1/mLongT5/CPU</v>
      </c>
      <c r="J87">
        <v>879.11570298599997</v>
      </c>
      <c r="K87">
        <v>5.8510000000000003E-3</v>
      </c>
      <c r="L87">
        <v>3.4129999999999998E-3</v>
      </c>
      <c r="M87">
        <v>14</v>
      </c>
      <c r="N87" t="s">
        <v>25</v>
      </c>
      <c r="O87" t="s">
        <v>25</v>
      </c>
      <c r="P87">
        <v>2.4380000000000001E-3</v>
      </c>
      <c r="Q87">
        <v>10</v>
      </c>
      <c r="R87" s="4" t="s">
        <v>187</v>
      </c>
      <c r="S87" t="s">
        <v>188</v>
      </c>
    </row>
    <row r="88" spans="1:19" ht="15" customHeight="1" x14ac:dyDescent="0.25">
      <c r="A88" t="s">
        <v>164</v>
      </c>
      <c r="B88" t="s">
        <v>165</v>
      </c>
      <c r="C88" t="s">
        <v>134</v>
      </c>
      <c r="D88" s="3">
        <v>45952</v>
      </c>
      <c r="E88" t="s">
        <v>22</v>
      </c>
      <c r="F88" t="s">
        <v>23</v>
      </c>
      <c r="G88" t="str">
        <f>"/code/TS3-"&amp;E88&amp;"/mlongt5"</f>
        <v>/code/TS3-S1/mlongt5</v>
      </c>
      <c r="H88" t="s">
        <v>178</v>
      </c>
      <c r="I88" t="str">
        <f t="shared" si="3"/>
        <v>/output/TS3/S1/mLongT5/CPU</v>
      </c>
      <c r="J88">
        <v>237.321181942999</v>
      </c>
      <c r="K88">
        <v>1.573E-3</v>
      </c>
      <c r="L88">
        <v>9.1799999999999998E-4</v>
      </c>
      <c r="M88">
        <v>14</v>
      </c>
      <c r="N88" t="s">
        <v>25</v>
      </c>
      <c r="O88" t="s">
        <v>25</v>
      </c>
      <c r="P88">
        <v>6.5499999999999998E-4</v>
      </c>
      <c r="Q88">
        <v>10</v>
      </c>
      <c r="R88" s="4" t="s">
        <v>189</v>
      </c>
      <c r="S88" t="s">
        <v>190</v>
      </c>
    </row>
    <row r="89" spans="1:19" ht="15" customHeight="1" x14ac:dyDescent="0.25">
      <c r="A89" t="s">
        <v>164</v>
      </c>
      <c r="B89" t="s">
        <v>165</v>
      </c>
      <c r="C89" t="s">
        <v>191</v>
      </c>
      <c r="D89" s="3">
        <v>45952</v>
      </c>
      <c r="E89" t="s">
        <v>22</v>
      </c>
      <c r="F89" t="s">
        <v>23</v>
      </c>
      <c r="G89" t="str">
        <f>"/code/TS3-"&amp;E89&amp;"/mistralnemo"</f>
        <v>/code/TS3-S1/mistralnemo</v>
      </c>
      <c r="H89" t="s">
        <v>166</v>
      </c>
      <c r="I89" t="str">
        <f t="shared" si="3"/>
        <v>/output/TS3/S1/Mistral Nemo/CPU</v>
      </c>
      <c r="J89">
        <v>1446.2061505879899</v>
      </c>
      <c r="K89">
        <v>9.6310000000000007E-3</v>
      </c>
      <c r="L89">
        <v>5.6179999999999997E-3</v>
      </c>
      <c r="M89">
        <v>14</v>
      </c>
      <c r="N89" t="s">
        <v>25</v>
      </c>
      <c r="O89" t="s">
        <v>25</v>
      </c>
      <c r="P89">
        <v>4.0130000000000001E-3</v>
      </c>
      <c r="Q89">
        <v>10</v>
      </c>
      <c r="R89" s="4" t="s">
        <v>192</v>
      </c>
      <c r="S89" t="s">
        <v>193</v>
      </c>
    </row>
    <row r="90" spans="1:19" ht="15" customHeight="1" x14ac:dyDescent="0.25">
      <c r="A90" t="s">
        <v>164</v>
      </c>
      <c r="B90" t="s">
        <v>165</v>
      </c>
      <c r="C90" t="s">
        <v>191</v>
      </c>
      <c r="D90" s="3">
        <v>45952</v>
      </c>
      <c r="E90" t="s">
        <v>22</v>
      </c>
      <c r="F90" t="s">
        <v>23</v>
      </c>
      <c r="G90" t="str">
        <f>"/code/TS3-"&amp;E90&amp;"/mistralnemo"</f>
        <v>/code/TS3-S1/mistralnemo</v>
      </c>
      <c r="H90" t="s">
        <v>169</v>
      </c>
      <c r="I90" t="str">
        <f t="shared" si="3"/>
        <v>/output/TS3/S1/Mistral Nemo/CPU</v>
      </c>
      <c r="J90">
        <v>763.00418608000098</v>
      </c>
      <c r="K90">
        <v>5.0769999999999999E-3</v>
      </c>
      <c r="L90">
        <v>2.9619999999999998E-3</v>
      </c>
      <c r="M90">
        <v>14</v>
      </c>
      <c r="N90" t="s">
        <v>25</v>
      </c>
      <c r="O90" t="s">
        <v>25</v>
      </c>
      <c r="P90">
        <v>2.1150000000000001E-3</v>
      </c>
      <c r="Q90">
        <v>10</v>
      </c>
      <c r="R90" s="4" t="s">
        <v>194</v>
      </c>
      <c r="S90" t="s">
        <v>195</v>
      </c>
    </row>
    <row r="91" spans="1:19" ht="15" customHeight="1" x14ac:dyDescent="0.25">
      <c r="A91" t="s">
        <v>164</v>
      </c>
      <c r="B91" t="s">
        <v>165</v>
      </c>
      <c r="C91" t="s">
        <v>191</v>
      </c>
      <c r="D91" s="3">
        <v>45952</v>
      </c>
      <c r="E91" t="s">
        <v>22</v>
      </c>
      <c r="F91" t="s">
        <v>23</v>
      </c>
      <c r="G91" t="str">
        <f>"/code/TS3-"&amp;E91&amp;"/mistralnemo"</f>
        <v>/code/TS3-S1/mistralnemo</v>
      </c>
      <c r="H91" t="s">
        <v>172</v>
      </c>
      <c r="I91" t="str">
        <f t="shared" si="3"/>
        <v>/output/TS3/S1/Mistral Nemo/CPU</v>
      </c>
      <c r="J91">
        <v>2797.4379917209999</v>
      </c>
      <c r="K91">
        <v>1.0873000000000001E-2</v>
      </c>
      <c r="L91">
        <v>2.3E-5</v>
      </c>
      <c r="M91">
        <v>14</v>
      </c>
      <c r="N91" t="s">
        <v>25</v>
      </c>
      <c r="O91" t="s">
        <v>25</v>
      </c>
      <c r="P91">
        <v>7.7660000000000003E-3</v>
      </c>
      <c r="Q91">
        <v>10</v>
      </c>
      <c r="R91" s="4" t="s">
        <v>196</v>
      </c>
      <c r="S91" t="s">
        <v>197</v>
      </c>
    </row>
    <row r="92" spans="1:19" ht="15" customHeight="1" x14ac:dyDescent="0.25">
      <c r="A92" t="s">
        <v>164</v>
      </c>
      <c r="B92" t="s">
        <v>165</v>
      </c>
      <c r="C92" t="s">
        <v>191</v>
      </c>
      <c r="D92" s="3">
        <v>45956</v>
      </c>
      <c r="E92" t="s">
        <v>22</v>
      </c>
      <c r="F92" t="s">
        <v>23</v>
      </c>
      <c r="G92" t="str">
        <f>"/code/TS3-"&amp;E92&amp;"/mistralnemo"</f>
        <v>/code/TS3-S1/mistralnemo</v>
      </c>
      <c r="H92" t="s">
        <v>175</v>
      </c>
      <c r="I92" t="str">
        <f t="shared" si="3"/>
        <v>/output/TS3/S1/Mistral Nemo/CPU</v>
      </c>
      <c r="J92">
        <v>3277.0762211770002</v>
      </c>
      <c r="K92">
        <v>2.1836000000000001E-2</v>
      </c>
      <c r="L92">
        <v>1.2737999999999999E-2</v>
      </c>
      <c r="M92">
        <v>14</v>
      </c>
      <c r="N92" t="s">
        <v>25</v>
      </c>
      <c r="O92" t="s">
        <v>25</v>
      </c>
      <c r="P92">
        <v>9.0980000000000002E-3</v>
      </c>
      <c r="Q92">
        <v>10</v>
      </c>
      <c r="R92" s="4" t="s">
        <v>198</v>
      </c>
      <c r="S92" t="s">
        <v>199</v>
      </c>
    </row>
    <row r="93" spans="1:19" ht="15" customHeight="1" x14ac:dyDescent="0.25">
      <c r="A93" t="s">
        <v>164</v>
      </c>
      <c r="B93" t="s">
        <v>165</v>
      </c>
      <c r="C93" t="s">
        <v>191</v>
      </c>
      <c r="D93" s="3">
        <v>45956</v>
      </c>
      <c r="E93" t="s">
        <v>22</v>
      </c>
      <c r="F93" t="s">
        <v>23</v>
      </c>
      <c r="G93" t="str">
        <f>"/code/TS3-"&amp;E93&amp;"/mistralnemo"</f>
        <v>/code/TS3-S1/mistralnemo</v>
      </c>
      <c r="H93" t="s">
        <v>178</v>
      </c>
      <c r="I93" t="str">
        <f t="shared" si="3"/>
        <v>/output/TS3/S1/Mistral Nemo/CPU</v>
      </c>
      <c r="J93">
        <v>2310.4216845769902</v>
      </c>
      <c r="K93">
        <v>1.5393E-2</v>
      </c>
      <c r="L93">
        <v>8.9800000000000001E-3</v>
      </c>
      <c r="M93">
        <v>14</v>
      </c>
      <c r="N93" t="s">
        <v>25</v>
      </c>
      <c r="O93" t="s">
        <v>25</v>
      </c>
      <c r="P93">
        <v>6.4140000000000004E-3</v>
      </c>
      <c r="Q93">
        <v>10</v>
      </c>
      <c r="R93" s="4" t="s">
        <v>200</v>
      </c>
      <c r="S93" t="s">
        <v>201</v>
      </c>
    </row>
    <row r="96" spans="1:19" ht="15" customHeight="1" x14ac:dyDescent="0.25">
      <c r="A96" t="s">
        <v>164</v>
      </c>
      <c r="B96" t="s">
        <v>202</v>
      </c>
      <c r="C96" t="s">
        <v>73</v>
      </c>
      <c r="D96" s="3">
        <v>45974</v>
      </c>
      <c r="E96" t="s">
        <v>41</v>
      </c>
      <c r="F96" t="s">
        <v>23</v>
      </c>
      <c r="G96" t="str">
        <f>"/code/TS3-"&amp;E96&amp;"/lexrank"</f>
        <v>/code/TS3-S2/lexrank</v>
      </c>
      <c r="H96" t="s">
        <v>166</v>
      </c>
      <c r="I96" t="str">
        <f t="shared" si="3"/>
        <v>/output/TS3/S2/LexRank/CPU</v>
      </c>
      <c r="J96">
        <v>1.9445324080006601</v>
      </c>
      <c r="K96">
        <v>5.0000000000000004E-6</v>
      </c>
      <c r="L96">
        <v>3.0000000000000001E-6</v>
      </c>
      <c r="M96">
        <v>32.5</v>
      </c>
      <c r="N96" t="s">
        <v>25</v>
      </c>
      <c r="O96" t="s">
        <v>25</v>
      </c>
      <c r="P96">
        <v>1.9999999999999999E-6</v>
      </c>
      <c r="Q96">
        <v>20</v>
      </c>
      <c r="R96" s="4" t="s">
        <v>203</v>
      </c>
      <c r="S96" t="s">
        <v>204</v>
      </c>
    </row>
    <row r="97" spans="1:19" ht="15" customHeight="1" x14ac:dyDescent="0.25">
      <c r="A97" t="s">
        <v>164</v>
      </c>
      <c r="B97" t="s">
        <v>202</v>
      </c>
      <c r="C97" t="s">
        <v>73</v>
      </c>
      <c r="D97" s="3">
        <v>45974</v>
      </c>
      <c r="E97" t="s">
        <v>41</v>
      </c>
      <c r="F97" t="s">
        <v>23</v>
      </c>
      <c r="G97" t="str">
        <f t="shared" ref="G97:G100" si="5">"/code/TS3-"&amp;E97&amp;"/lexrank"</f>
        <v>/code/TS3-S2/lexrank</v>
      </c>
      <c r="H97" t="s">
        <v>169</v>
      </c>
      <c r="I97" t="str">
        <f t="shared" si="3"/>
        <v>/output/TS3/S2/LexRank/CPU</v>
      </c>
      <c r="J97">
        <v>1.7822837049970901</v>
      </c>
      <c r="K97">
        <v>3.0000000000000001E-6</v>
      </c>
      <c r="L97">
        <v>1.9999999999999999E-6</v>
      </c>
      <c r="M97">
        <v>32.5</v>
      </c>
      <c r="N97" t="s">
        <v>25</v>
      </c>
      <c r="O97" t="s">
        <v>25</v>
      </c>
      <c r="P97">
        <v>9.9999999999999995E-7</v>
      </c>
      <c r="Q97">
        <v>20</v>
      </c>
      <c r="R97" s="4" t="s">
        <v>205</v>
      </c>
      <c r="S97" t="s">
        <v>206</v>
      </c>
    </row>
    <row r="98" spans="1:19" ht="15" customHeight="1" x14ac:dyDescent="0.25">
      <c r="A98" t="s">
        <v>164</v>
      </c>
      <c r="B98" t="s">
        <v>202</v>
      </c>
      <c r="C98" t="s">
        <v>73</v>
      </c>
      <c r="D98" s="3">
        <v>45974</v>
      </c>
      <c r="E98" t="s">
        <v>41</v>
      </c>
      <c r="F98" t="s">
        <v>23</v>
      </c>
      <c r="G98" t="str">
        <f t="shared" si="5"/>
        <v>/code/TS3-S2/lexrank</v>
      </c>
      <c r="H98" t="s">
        <v>172</v>
      </c>
      <c r="I98" t="str">
        <f t="shared" si="3"/>
        <v>/output/TS3/S2/LexRank/CPU</v>
      </c>
      <c r="J98">
        <v>3.5010544339966101</v>
      </c>
      <c r="K98">
        <v>2.8E-5</v>
      </c>
      <c r="L98">
        <v>1.8E-5</v>
      </c>
      <c r="M98">
        <v>32.5</v>
      </c>
      <c r="N98" t="s">
        <v>25</v>
      </c>
      <c r="O98" t="s">
        <v>25</v>
      </c>
      <c r="P98">
        <v>1.1E-5</v>
      </c>
      <c r="Q98">
        <v>20</v>
      </c>
      <c r="R98" s="4" t="s">
        <v>207</v>
      </c>
      <c r="S98" t="s">
        <v>208</v>
      </c>
    </row>
    <row r="99" spans="1:19" ht="15" customHeight="1" x14ac:dyDescent="0.25">
      <c r="A99" t="s">
        <v>164</v>
      </c>
      <c r="B99" t="s">
        <v>202</v>
      </c>
      <c r="C99" t="s">
        <v>73</v>
      </c>
      <c r="D99" s="3">
        <v>45974</v>
      </c>
      <c r="E99" t="s">
        <v>41</v>
      </c>
      <c r="F99" t="s">
        <v>23</v>
      </c>
      <c r="G99" t="str">
        <f t="shared" si="5"/>
        <v>/code/TS3-S2/lexrank</v>
      </c>
      <c r="H99" t="s">
        <v>175</v>
      </c>
      <c r="I99" t="str">
        <f t="shared" si="3"/>
        <v>/output/TS3/S2/LexRank/CPU</v>
      </c>
      <c r="J99">
        <v>4.2705504740006202</v>
      </c>
      <c r="K99">
        <v>4.0000000000000003E-5</v>
      </c>
      <c r="L99">
        <v>2.5000000000000001E-5</v>
      </c>
      <c r="M99">
        <v>32.5</v>
      </c>
      <c r="N99" t="s">
        <v>25</v>
      </c>
      <c r="O99" t="s">
        <v>25</v>
      </c>
      <c r="P99">
        <v>1.5E-5</v>
      </c>
      <c r="Q99">
        <v>20</v>
      </c>
      <c r="R99" s="4" t="s">
        <v>209</v>
      </c>
      <c r="S99" t="s">
        <v>210</v>
      </c>
    </row>
    <row r="100" spans="1:19" ht="15" customHeight="1" x14ac:dyDescent="0.25">
      <c r="A100" t="s">
        <v>164</v>
      </c>
      <c r="B100" t="s">
        <v>202</v>
      </c>
      <c r="C100" t="s">
        <v>73</v>
      </c>
      <c r="D100" s="3">
        <v>45974</v>
      </c>
      <c r="E100" t="s">
        <v>41</v>
      </c>
      <c r="F100" t="s">
        <v>23</v>
      </c>
      <c r="G100" t="str">
        <f t="shared" si="5"/>
        <v>/code/TS3-S2/lexrank</v>
      </c>
      <c r="H100" t="s">
        <v>178</v>
      </c>
      <c r="I100" t="str">
        <f t="shared" si="3"/>
        <v>/output/TS3/S2/LexRank/CPU</v>
      </c>
      <c r="J100">
        <v>2.1529940680047699</v>
      </c>
      <c r="K100">
        <v>9.0000000000000002E-6</v>
      </c>
      <c r="L100">
        <v>6.0000000000000002E-6</v>
      </c>
      <c r="M100">
        <v>32.5</v>
      </c>
      <c r="N100" t="s">
        <v>25</v>
      </c>
      <c r="O100" t="s">
        <v>25</v>
      </c>
      <c r="P100">
        <v>3.0000000000000001E-6</v>
      </c>
      <c r="Q100">
        <v>20</v>
      </c>
      <c r="R100" s="4" t="s">
        <v>211</v>
      </c>
      <c r="S100" t="s">
        <v>212</v>
      </c>
    </row>
    <row r="101" spans="1:19" ht="15" customHeight="1" x14ac:dyDescent="0.25">
      <c r="A101" t="s">
        <v>164</v>
      </c>
      <c r="B101" t="s">
        <v>202</v>
      </c>
      <c r="C101" t="s">
        <v>134</v>
      </c>
      <c r="D101" s="3">
        <v>45975</v>
      </c>
      <c r="E101" t="s">
        <v>41</v>
      </c>
      <c r="F101" t="s">
        <v>23</v>
      </c>
      <c r="G101" t="str">
        <f t="shared" ref="G101:G110" si="6">"/code/TS3-"&amp;E101&amp;"/mlongt5"</f>
        <v>/code/TS3-S2/mlongt5</v>
      </c>
      <c r="H101" t="s">
        <v>166</v>
      </c>
      <c r="I101" t="str">
        <f t="shared" si="3"/>
        <v>/output/TS3/S2/mLongT5/CPU</v>
      </c>
      <c r="J101">
        <v>349.305048591</v>
      </c>
      <c r="K101">
        <v>5.0740000000000004E-3</v>
      </c>
      <c r="L101">
        <v>3.1410000000000001E-3</v>
      </c>
      <c r="M101">
        <v>32.5</v>
      </c>
      <c r="N101" t="s">
        <v>25</v>
      </c>
      <c r="O101" t="s">
        <v>25</v>
      </c>
      <c r="P101">
        <v>1.933E-3</v>
      </c>
      <c r="Q101">
        <v>20</v>
      </c>
      <c r="R101" s="4" t="s">
        <v>213</v>
      </c>
      <c r="S101" t="s">
        <v>214</v>
      </c>
    </row>
    <row r="102" spans="1:19" ht="15" customHeight="1" x14ac:dyDescent="0.25">
      <c r="A102" t="s">
        <v>164</v>
      </c>
      <c r="B102" t="s">
        <v>202</v>
      </c>
      <c r="C102" t="s">
        <v>134</v>
      </c>
      <c r="D102" s="3">
        <v>45975</v>
      </c>
      <c r="E102" t="s">
        <v>41</v>
      </c>
      <c r="F102" t="s">
        <v>48</v>
      </c>
      <c r="G102" t="str">
        <f t="shared" si="6"/>
        <v>/code/TS3-S2/mlongt5</v>
      </c>
      <c r="H102" t="s">
        <v>166</v>
      </c>
      <c r="I102" t="str">
        <f t="shared" si="3"/>
        <v>/output/TS3/S2/mLongT5/GPU</v>
      </c>
      <c r="J102">
        <v>656.62848208699995</v>
      </c>
      <c r="K102">
        <v>9.554E-3</v>
      </c>
      <c r="L102">
        <v>5.9150000000000001E-3</v>
      </c>
      <c r="M102">
        <v>32.5</v>
      </c>
      <c r="N102" t="s">
        <v>25</v>
      </c>
      <c r="O102" t="s">
        <v>25</v>
      </c>
      <c r="P102">
        <v>3.64E-3</v>
      </c>
      <c r="Q102" s="4">
        <v>20</v>
      </c>
      <c r="R102" s="4" t="s">
        <v>215</v>
      </c>
      <c r="S102" t="s">
        <v>216</v>
      </c>
    </row>
    <row r="103" spans="1:19" ht="15" customHeight="1" x14ac:dyDescent="0.25">
      <c r="A103" t="s">
        <v>164</v>
      </c>
      <c r="B103" t="s">
        <v>202</v>
      </c>
      <c r="C103" t="s">
        <v>134</v>
      </c>
      <c r="D103" s="3">
        <v>45974</v>
      </c>
      <c r="E103" t="s">
        <v>41</v>
      </c>
      <c r="F103" t="s">
        <v>23</v>
      </c>
      <c r="G103" t="str">
        <f t="shared" si="6"/>
        <v>/code/TS3-S2/mlongt5</v>
      </c>
      <c r="H103" t="s">
        <v>169</v>
      </c>
      <c r="I103" t="str">
        <f t="shared" si="3"/>
        <v>/output/TS3/S2/mLongT5/CPU</v>
      </c>
      <c r="J103">
        <v>239.49105087999399</v>
      </c>
      <c r="K103">
        <v>3.473E-3</v>
      </c>
      <c r="L103">
        <v>2.15E-3</v>
      </c>
      <c r="M103">
        <v>32.5</v>
      </c>
      <c r="N103" t="s">
        <v>25</v>
      </c>
      <c r="O103" t="s">
        <v>25</v>
      </c>
      <c r="P103">
        <v>1.323E-3</v>
      </c>
      <c r="Q103">
        <v>20</v>
      </c>
      <c r="R103" s="4" t="s">
        <v>217</v>
      </c>
      <c r="S103" t="s">
        <v>218</v>
      </c>
    </row>
    <row r="104" spans="1:19" ht="15" customHeight="1" x14ac:dyDescent="0.25">
      <c r="A104" t="s">
        <v>164</v>
      </c>
      <c r="B104" t="s">
        <v>202</v>
      </c>
      <c r="C104" t="s">
        <v>134</v>
      </c>
      <c r="D104" s="3">
        <v>45974</v>
      </c>
      <c r="E104" t="s">
        <v>41</v>
      </c>
      <c r="F104" t="s">
        <v>48</v>
      </c>
      <c r="G104" t="str">
        <f t="shared" si="6"/>
        <v>/code/TS3-S2/mlongt5</v>
      </c>
      <c r="H104" t="s">
        <v>169</v>
      </c>
      <c r="I104" t="str">
        <f t="shared" si="3"/>
        <v>/output/TS3/S2/mLongT5/GPU</v>
      </c>
      <c r="J104">
        <v>240.61095636399801</v>
      </c>
      <c r="K104">
        <v>3.4880000000000002E-3</v>
      </c>
      <c r="L104">
        <v>2.1589999999999999E-3</v>
      </c>
      <c r="M104">
        <v>32.5</v>
      </c>
      <c r="N104" t="s">
        <v>25</v>
      </c>
      <c r="O104" t="s">
        <v>25</v>
      </c>
      <c r="P104">
        <v>1.3290000000000001E-3</v>
      </c>
      <c r="Q104">
        <v>20</v>
      </c>
      <c r="R104" s="4" t="s">
        <v>219</v>
      </c>
      <c r="S104" t="s">
        <v>220</v>
      </c>
    </row>
    <row r="105" spans="1:19" ht="15" customHeight="1" x14ac:dyDescent="0.25">
      <c r="A105" t="s">
        <v>164</v>
      </c>
      <c r="B105" t="s">
        <v>202</v>
      </c>
      <c r="C105" t="s">
        <v>134</v>
      </c>
      <c r="D105" s="3">
        <v>45974</v>
      </c>
      <c r="E105" t="s">
        <v>41</v>
      </c>
      <c r="F105" t="s">
        <v>23</v>
      </c>
      <c r="G105" t="str">
        <f t="shared" si="6"/>
        <v>/code/TS3-S2/mlongt5</v>
      </c>
      <c r="H105" t="s">
        <v>172</v>
      </c>
      <c r="I105" t="str">
        <f t="shared" si="3"/>
        <v>/output/TS3/S2/mLongT5/CPU</v>
      </c>
      <c r="J105">
        <v>688.35381370000596</v>
      </c>
      <c r="K105">
        <v>1.0019E-2</v>
      </c>
      <c r="L105">
        <v>6.202E-3</v>
      </c>
      <c r="M105">
        <v>32.5</v>
      </c>
      <c r="N105" t="s">
        <v>25</v>
      </c>
      <c r="O105" t="s">
        <v>25</v>
      </c>
      <c r="P105">
        <v>3.8170000000000001E-3</v>
      </c>
      <c r="Q105">
        <v>20</v>
      </c>
      <c r="R105" s="4" t="s">
        <v>221</v>
      </c>
      <c r="S105" t="s">
        <v>222</v>
      </c>
    </row>
    <row r="106" spans="1:19" ht="15" customHeight="1" x14ac:dyDescent="0.25">
      <c r="A106" t="s">
        <v>164</v>
      </c>
      <c r="B106" t="s">
        <v>202</v>
      </c>
      <c r="C106" t="s">
        <v>134</v>
      </c>
      <c r="D106" s="3">
        <v>45974</v>
      </c>
      <c r="E106" t="s">
        <v>41</v>
      </c>
      <c r="F106" t="s">
        <v>48</v>
      </c>
      <c r="G106" t="str">
        <f t="shared" si="6"/>
        <v>/code/TS3-S2/mlongt5</v>
      </c>
      <c r="H106" t="s">
        <v>172</v>
      </c>
      <c r="I106" t="str">
        <f t="shared" si="3"/>
        <v>/output/TS3/S2/mLongT5/GPU</v>
      </c>
      <c r="J106">
        <v>655.48127470799898</v>
      </c>
      <c r="K106">
        <v>9.5379999999999996E-3</v>
      </c>
      <c r="L106">
        <v>5.9049999999999997E-3</v>
      </c>
      <c r="M106">
        <v>32.5</v>
      </c>
      <c r="N106" t="s">
        <v>25</v>
      </c>
      <c r="O106" t="s">
        <v>25</v>
      </c>
      <c r="P106">
        <v>3.6340000000000001E-3</v>
      </c>
      <c r="Q106">
        <v>20</v>
      </c>
      <c r="R106" s="4" t="s">
        <v>223</v>
      </c>
      <c r="S106" t="s">
        <v>224</v>
      </c>
    </row>
    <row r="107" spans="1:19" ht="15" customHeight="1" x14ac:dyDescent="0.25">
      <c r="A107" t="s">
        <v>164</v>
      </c>
      <c r="B107" t="s">
        <v>202</v>
      </c>
      <c r="C107" t="s">
        <v>134</v>
      </c>
      <c r="D107" s="3">
        <v>45974</v>
      </c>
      <c r="E107" t="s">
        <v>41</v>
      </c>
      <c r="F107" t="s">
        <v>23</v>
      </c>
      <c r="G107" t="str">
        <f t="shared" si="6"/>
        <v>/code/TS3-S2/mlongt5</v>
      </c>
      <c r="H107" t="s">
        <v>175</v>
      </c>
      <c r="I107" t="str">
        <f t="shared" si="3"/>
        <v>/output/TS3/S2/mLongT5/CPU</v>
      </c>
      <c r="J107">
        <v>498.38526338999498</v>
      </c>
      <c r="K107">
        <v>7.2480000000000001E-3</v>
      </c>
      <c r="L107">
        <v>4.4869999999999997E-3</v>
      </c>
      <c r="M107">
        <v>32.5</v>
      </c>
      <c r="N107" t="s">
        <v>25</v>
      </c>
      <c r="O107" t="s">
        <v>25</v>
      </c>
      <c r="P107">
        <v>2.761E-3</v>
      </c>
      <c r="Q107">
        <v>20</v>
      </c>
      <c r="R107" s="4" t="s">
        <v>225</v>
      </c>
      <c r="S107" t="s">
        <v>226</v>
      </c>
    </row>
    <row r="108" spans="1:19" ht="15" customHeight="1" x14ac:dyDescent="0.25">
      <c r="A108" t="s">
        <v>164</v>
      </c>
      <c r="B108" t="s">
        <v>202</v>
      </c>
      <c r="C108" t="s">
        <v>134</v>
      </c>
      <c r="D108" s="3">
        <v>45974</v>
      </c>
      <c r="E108" t="s">
        <v>41</v>
      </c>
      <c r="F108" t="s">
        <v>48</v>
      </c>
      <c r="G108" t="str">
        <f t="shared" si="6"/>
        <v>/code/TS3-S2/mlongt5</v>
      </c>
      <c r="H108" t="s">
        <v>175</v>
      </c>
      <c r="I108" t="str">
        <f t="shared" si="3"/>
        <v>/output/TS3/S2/mLongT5/GPU</v>
      </c>
      <c r="J108">
        <v>499.10167370099902</v>
      </c>
      <c r="K108">
        <v>7.2560000000000003E-3</v>
      </c>
      <c r="L108">
        <v>4.4920000000000003E-3</v>
      </c>
      <c r="M108">
        <v>32.5</v>
      </c>
      <c r="N108" t="s">
        <v>25</v>
      </c>
      <c r="O108" t="s">
        <v>25</v>
      </c>
      <c r="P108">
        <v>2.764E-3</v>
      </c>
      <c r="Q108">
        <v>20</v>
      </c>
      <c r="R108" s="4" t="s">
        <v>227</v>
      </c>
      <c r="S108" t="s">
        <v>228</v>
      </c>
    </row>
    <row r="109" spans="1:19" ht="15" customHeight="1" x14ac:dyDescent="0.25">
      <c r="A109" t="s">
        <v>164</v>
      </c>
      <c r="B109" t="s">
        <v>202</v>
      </c>
      <c r="C109" t="s">
        <v>134</v>
      </c>
      <c r="D109" s="3">
        <v>45974</v>
      </c>
      <c r="E109" t="s">
        <v>41</v>
      </c>
      <c r="F109" t="s">
        <v>23</v>
      </c>
      <c r="G109" t="str">
        <f t="shared" si="6"/>
        <v>/code/TS3-S2/mlongt5</v>
      </c>
      <c r="H109" t="s">
        <v>178</v>
      </c>
      <c r="I109" t="str">
        <f t="shared" si="3"/>
        <v>/output/TS3/S2/mLongT5/CPU</v>
      </c>
      <c r="J109">
        <v>189.40127383099701</v>
      </c>
      <c r="K109">
        <v>2.7420000000000001E-3</v>
      </c>
      <c r="L109">
        <v>1.6980000000000001E-3</v>
      </c>
      <c r="M109">
        <v>32.5</v>
      </c>
      <c r="N109" t="s">
        <v>25</v>
      </c>
      <c r="O109" t="s">
        <v>25</v>
      </c>
      <c r="P109">
        <v>1.0449999999999999E-3</v>
      </c>
      <c r="Q109">
        <v>20</v>
      </c>
      <c r="R109" s="4" t="s">
        <v>229</v>
      </c>
      <c r="S109" t="s">
        <v>230</v>
      </c>
    </row>
    <row r="110" spans="1:19" ht="15" customHeight="1" x14ac:dyDescent="0.25">
      <c r="A110" t="s">
        <v>164</v>
      </c>
      <c r="B110" t="s">
        <v>202</v>
      </c>
      <c r="C110" t="s">
        <v>134</v>
      </c>
      <c r="D110" s="3">
        <v>45974</v>
      </c>
      <c r="E110" t="s">
        <v>41</v>
      </c>
      <c r="F110" t="s">
        <v>48</v>
      </c>
      <c r="G110" t="str">
        <f t="shared" si="6"/>
        <v>/code/TS3-S2/mlongt5</v>
      </c>
      <c r="H110" t="s">
        <v>178</v>
      </c>
      <c r="I110" t="str">
        <f t="shared" si="3"/>
        <v>/output/TS3/S2/mLongT5/GPU</v>
      </c>
      <c r="J110">
        <v>193.52300111600101</v>
      </c>
      <c r="K110">
        <v>2.7989999999999998E-3</v>
      </c>
      <c r="L110">
        <v>1.7329999999999999E-3</v>
      </c>
      <c r="M110">
        <v>32.5</v>
      </c>
      <c r="N110" t="s">
        <v>25</v>
      </c>
      <c r="O110" t="s">
        <v>25</v>
      </c>
      <c r="P110">
        <v>1.0660000000000001E-3</v>
      </c>
      <c r="Q110">
        <v>20</v>
      </c>
      <c r="R110" s="4" t="s">
        <v>231</v>
      </c>
      <c r="S110" t="s">
        <v>232</v>
      </c>
    </row>
    <row r="111" spans="1:19" ht="15" customHeight="1" x14ac:dyDescent="0.25">
      <c r="A111" t="s">
        <v>164</v>
      </c>
      <c r="B111" t="s">
        <v>202</v>
      </c>
      <c r="C111" t="s">
        <v>191</v>
      </c>
      <c r="D111" s="3">
        <v>45974</v>
      </c>
      <c r="E111" t="s">
        <v>41</v>
      </c>
      <c r="F111" t="s">
        <v>23</v>
      </c>
      <c r="G111" t="str">
        <f t="shared" ref="G111:G120" si="7">"/code/TS3-"&amp;E111&amp;"/mistralnemo"</f>
        <v>/code/TS3-S2/mistralnemo</v>
      </c>
      <c r="H111" t="s">
        <v>166</v>
      </c>
      <c r="I111" t="str">
        <f t="shared" si="3"/>
        <v>/output/TS3/S2/Mistral Nemo/CPU</v>
      </c>
      <c r="J111">
        <v>704.83609260999901</v>
      </c>
      <c r="K111">
        <v>1.0259000000000001E-2</v>
      </c>
      <c r="L111">
        <v>6.3509999999999999E-3</v>
      </c>
      <c r="M111">
        <v>32.5</v>
      </c>
      <c r="N111" t="s">
        <v>25</v>
      </c>
      <c r="O111" t="s">
        <v>25</v>
      </c>
      <c r="P111">
        <v>3.908E-3</v>
      </c>
      <c r="Q111">
        <v>20</v>
      </c>
      <c r="R111" s="4" t="s">
        <v>233</v>
      </c>
      <c r="S111" t="s">
        <v>234</v>
      </c>
    </row>
    <row r="112" spans="1:19" ht="15" customHeight="1" x14ac:dyDescent="0.25">
      <c r="A112" t="s">
        <v>164</v>
      </c>
      <c r="B112" t="s">
        <v>202</v>
      </c>
      <c r="C112" t="s">
        <v>191</v>
      </c>
      <c r="D112" s="3">
        <v>45973</v>
      </c>
      <c r="E112" t="s">
        <v>41</v>
      </c>
      <c r="F112" t="s">
        <v>48</v>
      </c>
      <c r="G112" t="str">
        <f t="shared" si="7"/>
        <v>/code/TS3-S2/mistralnemo</v>
      </c>
      <c r="H112" t="s">
        <v>166</v>
      </c>
      <c r="I112" t="str">
        <f t="shared" si="3"/>
        <v>/output/TS3/S2/Mistral Nemo/GPU</v>
      </c>
      <c r="J112">
        <v>179.95903498999999</v>
      </c>
      <c r="K112">
        <v>2.604E-3</v>
      </c>
      <c r="L112">
        <v>1.6119999999999999E-3</v>
      </c>
      <c r="M112">
        <v>32.5</v>
      </c>
      <c r="N112" t="s">
        <v>25</v>
      </c>
      <c r="O112" t="s">
        <v>25</v>
      </c>
      <c r="P112">
        <v>9.9200000000000004E-4</v>
      </c>
      <c r="Q112">
        <v>20</v>
      </c>
      <c r="R112" s="4" t="s">
        <v>235</v>
      </c>
      <c r="S112" t="s">
        <v>236</v>
      </c>
    </row>
    <row r="113" spans="1:19" ht="15" customHeight="1" x14ac:dyDescent="0.25">
      <c r="A113" t="s">
        <v>164</v>
      </c>
      <c r="B113" t="s">
        <v>202</v>
      </c>
      <c r="C113" t="s">
        <v>191</v>
      </c>
      <c r="D113" s="3">
        <v>45974</v>
      </c>
      <c r="E113" t="s">
        <v>41</v>
      </c>
      <c r="F113" t="s">
        <v>23</v>
      </c>
      <c r="G113" t="str">
        <f t="shared" si="7"/>
        <v>/code/TS3-S2/mistralnemo</v>
      </c>
      <c r="H113" t="s">
        <v>169</v>
      </c>
      <c r="I113" t="str">
        <f t="shared" si="3"/>
        <v>/output/TS3/S2/Mistral Nemo/CPU</v>
      </c>
      <c r="J113">
        <v>369.61693040999597</v>
      </c>
      <c r="K113">
        <v>5.3699999999999998E-3</v>
      </c>
      <c r="L113">
        <v>3.3240000000000001E-3</v>
      </c>
      <c r="M113">
        <v>32.5</v>
      </c>
      <c r="N113" t="s">
        <v>25</v>
      </c>
      <c r="O113" t="s">
        <v>25</v>
      </c>
      <c r="P113">
        <v>2.0460000000000001E-3</v>
      </c>
      <c r="Q113">
        <v>20</v>
      </c>
      <c r="R113" s="4" t="s">
        <v>237</v>
      </c>
      <c r="S113" t="s">
        <v>238</v>
      </c>
    </row>
    <row r="114" spans="1:19" ht="15" customHeight="1" x14ac:dyDescent="0.25">
      <c r="A114" t="s">
        <v>164</v>
      </c>
      <c r="B114" t="s">
        <v>202</v>
      </c>
      <c r="C114" t="s">
        <v>191</v>
      </c>
      <c r="D114" s="3">
        <v>45974</v>
      </c>
      <c r="E114" t="s">
        <v>41</v>
      </c>
      <c r="F114" t="s">
        <v>48</v>
      </c>
      <c r="G114" t="str">
        <f t="shared" si="7"/>
        <v>/code/TS3-S2/mistralnemo</v>
      </c>
      <c r="H114" t="s">
        <v>169</v>
      </c>
      <c r="I114" t="str">
        <f t="shared" si="3"/>
        <v>/output/TS3/S2/Mistral Nemo/GPU</v>
      </c>
      <c r="J114">
        <v>152.03654016699801</v>
      </c>
      <c r="K114">
        <v>2.1970000000000002E-3</v>
      </c>
      <c r="L114">
        <v>1.3600000000000001E-3</v>
      </c>
      <c r="M114">
        <v>32.5</v>
      </c>
      <c r="N114" t="s">
        <v>25</v>
      </c>
      <c r="O114" t="s">
        <v>25</v>
      </c>
      <c r="P114">
        <v>8.3699999999999996E-4</v>
      </c>
      <c r="Q114">
        <v>20</v>
      </c>
      <c r="R114" s="4" t="s">
        <v>239</v>
      </c>
      <c r="S114" t="s">
        <v>240</v>
      </c>
    </row>
    <row r="115" spans="1:19" ht="15" customHeight="1" x14ac:dyDescent="0.25">
      <c r="A115" t="s">
        <v>164</v>
      </c>
      <c r="B115" t="s">
        <v>202</v>
      </c>
      <c r="C115" t="s">
        <v>191</v>
      </c>
      <c r="D115" s="3">
        <v>45974</v>
      </c>
      <c r="E115" t="s">
        <v>41</v>
      </c>
      <c r="F115" t="s">
        <v>23</v>
      </c>
      <c r="G115" t="str">
        <f t="shared" si="7"/>
        <v>/code/TS3-S2/mistralnemo</v>
      </c>
      <c r="H115" t="s">
        <v>172</v>
      </c>
      <c r="I115" t="str">
        <f t="shared" si="3"/>
        <v>/output/TS3/S2/Mistral Nemo/CPU</v>
      </c>
      <c r="J115">
        <v>1538.756546247</v>
      </c>
      <c r="K115">
        <v>2.2419999999999999E-2</v>
      </c>
      <c r="L115">
        <v>1.3879000000000001E-2</v>
      </c>
      <c r="M115">
        <v>32.5</v>
      </c>
      <c r="N115" t="s">
        <v>25</v>
      </c>
      <c r="O115" t="s">
        <v>25</v>
      </c>
      <c r="P115">
        <v>8.541E-3</v>
      </c>
      <c r="Q115">
        <v>20</v>
      </c>
      <c r="R115" s="4" t="s">
        <v>241</v>
      </c>
      <c r="S115" t="s">
        <v>242</v>
      </c>
    </row>
    <row r="116" spans="1:19" ht="15" customHeight="1" x14ac:dyDescent="0.25">
      <c r="A116" t="s">
        <v>164</v>
      </c>
      <c r="B116" t="s">
        <v>202</v>
      </c>
      <c r="C116" t="s">
        <v>191</v>
      </c>
      <c r="D116" s="3">
        <v>45973</v>
      </c>
      <c r="E116" t="s">
        <v>41</v>
      </c>
      <c r="F116" t="s">
        <v>48</v>
      </c>
      <c r="G116" t="str">
        <f t="shared" si="7"/>
        <v>/code/TS3-S2/mistralnemo</v>
      </c>
      <c r="H116" t="s">
        <v>172</v>
      </c>
      <c r="I116" t="str">
        <f t="shared" si="3"/>
        <v>/output/TS3/S2/Mistral Nemo/GPU</v>
      </c>
      <c r="J116">
        <v>961.20019619099901</v>
      </c>
      <c r="K116">
        <v>1.3997000000000001E-2</v>
      </c>
      <c r="L116">
        <v>8.6650000000000008E-3</v>
      </c>
      <c r="M116">
        <v>32.5</v>
      </c>
      <c r="N116" t="s">
        <v>25</v>
      </c>
      <c r="O116" t="s">
        <v>25</v>
      </c>
      <c r="P116">
        <v>5.3319999999999999E-3</v>
      </c>
      <c r="Q116">
        <v>20</v>
      </c>
      <c r="R116" s="4" t="s">
        <v>243</v>
      </c>
      <c r="S116" t="s">
        <v>244</v>
      </c>
    </row>
    <row r="117" spans="1:19" ht="15" customHeight="1" x14ac:dyDescent="0.25">
      <c r="A117" t="s">
        <v>164</v>
      </c>
      <c r="B117" t="s">
        <v>202</v>
      </c>
      <c r="C117" t="s">
        <v>191</v>
      </c>
      <c r="D117" s="3">
        <v>45974</v>
      </c>
      <c r="E117" t="s">
        <v>41</v>
      </c>
      <c r="F117" t="s">
        <v>23</v>
      </c>
      <c r="G117" t="str">
        <f t="shared" si="7"/>
        <v>/code/TS3-S2/mistralnemo</v>
      </c>
      <c r="H117" t="s">
        <v>175</v>
      </c>
      <c r="I117" t="str">
        <f t="shared" si="3"/>
        <v>/output/TS3/S2/Mistral Nemo/CPU</v>
      </c>
      <c r="J117">
        <v>1708.5040304449899</v>
      </c>
      <c r="K117">
        <v>2.4895E-2</v>
      </c>
      <c r="L117">
        <v>1.5412E-2</v>
      </c>
      <c r="M117">
        <v>32.5</v>
      </c>
      <c r="N117" t="s">
        <v>25</v>
      </c>
      <c r="O117" t="s">
        <v>25</v>
      </c>
      <c r="P117">
        <v>9.4839999999999994E-3</v>
      </c>
      <c r="Q117">
        <v>20</v>
      </c>
      <c r="R117" s="4" t="s">
        <v>245</v>
      </c>
      <c r="S117" t="s">
        <v>246</v>
      </c>
    </row>
    <row r="118" spans="1:19" ht="15" customHeight="1" x14ac:dyDescent="0.25">
      <c r="A118" t="s">
        <v>164</v>
      </c>
      <c r="B118" t="s">
        <v>202</v>
      </c>
      <c r="C118" t="s">
        <v>191</v>
      </c>
      <c r="D118" s="3">
        <v>45973</v>
      </c>
      <c r="E118" t="s">
        <v>41</v>
      </c>
      <c r="F118" t="s">
        <v>48</v>
      </c>
      <c r="G118" t="str">
        <f t="shared" si="7"/>
        <v>/code/TS3-S2/mistralnemo</v>
      </c>
      <c r="H118" t="s">
        <v>175</v>
      </c>
      <c r="I118" t="str">
        <f t="shared" si="3"/>
        <v>/output/TS3/S2/Mistral Nemo/GPU</v>
      </c>
      <c r="J118">
        <v>339.324384415</v>
      </c>
      <c r="K118">
        <v>4.927E-3</v>
      </c>
      <c r="L118">
        <v>3.0500000000000002E-3</v>
      </c>
      <c r="M118">
        <v>32.5</v>
      </c>
      <c r="N118" t="s">
        <v>25</v>
      </c>
      <c r="O118" t="s">
        <v>25</v>
      </c>
      <c r="P118">
        <v>1.877E-3</v>
      </c>
      <c r="Q118">
        <v>20</v>
      </c>
      <c r="R118" s="4" t="s">
        <v>247</v>
      </c>
      <c r="S118" t="s">
        <v>248</v>
      </c>
    </row>
    <row r="119" spans="1:19" ht="15" customHeight="1" x14ac:dyDescent="0.25">
      <c r="A119" t="s">
        <v>164</v>
      </c>
      <c r="B119" t="s">
        <v>202</v>
      </c>
      <c r="C119" t="s">
        <v>191</v>
      </c>
      <c r="D119" s="3">
        <v>45974</v>
      </c>
      <c r="E119" t="s">
        <v>41</v>
      </c>
      <c r="F119" t="s">
        <v>23</v>
      </c>
      <c r="G119" t="str">
        <f t="shared" si="7"/>
        <v>/code/TS3-S2/mistralnemo</v>
      </c>
      <c r="H119" t="s">
        <v>178</v>
      </c>
      <c r="I119" t="str">
        <f t="shared" si="3"/>
        <v>/output/TS3/S2/Mistral Nemo/CPU</v>
      </c>
      <c r="J119">
        <v>1297.3709538359899</v>
      </c>
      <c r="K119">
        <v>1.8898999999999999E-2</v>
      </c>
      <c r="L119">
        <v>1.1698999999999999E-2</v>
      </c>
      <c r="M119">
        <v>32.5</v>
      </c>
      <c r="N119" t="s">
        <v>25</v>
      </c>
      <c r="O119" t="s">
        <v>25</v>
      </c>
      <c r="P119">
        <v>7.1989999999999997E-3</v>
      </c>
      <c r="Q119">
        <v>20</v>
      </c>
      <c r="R119" s="4" t="s">
        <v>249</v>
      </c>
      <c r="S119" t="s">
        <v>250</v>
      </c>
    </row>
    <row r="120" spans="1:19" ht="15" customHeight="1" x14ac:dyDescent="0.25">
      <c r="A120" t="s">
        <v>164</v>
      </c>
      <c r="B120" t="s">
        <v>202</v>
      </c>
      <c r="C120" t="s">
        <v>191</v>
      </c>
      <c r="D120" s="3">
        <v>45973</v>
      </c>
      <c r="E120" t="s">
        <v>41</v>
      </c>
      <c r="F120" t="s">
        <v>48</v>
      </c>
      <c r="G120" t="str">
        <f t="shared" si="7"/>
        <v>/code/TS3-S2/mistralnemo</v>
      </c>
      <c r="H120" t="s">
        <v>178</v>
      </c>
      <c r="I120" t="str">
        <f t="shared" si="3"/>
        <v>/output/TS3/S2/Mistral Nemo/GPU</v>
      </c>
      <c r="J120">
        <v>423.51624239899797</v>
      </c>
      <c r="K120">
        <v>6.156E-3</v>
      </c>
      <c r="L120">
        <v>3.8110000000000002E-3</v>
      </c>
      <c r="M120">
        <v>32.5</v>
      </c>
      <c r="N120" t="s">
        <v>25</v>
      </c>
      <c r="O120" t="s">
        <v>25</v>
      </c>
      <c r="P120">
        <v>2.3449999999999999E-3</v>
      </c>
      <c r="Q120">
        <v>20</v>
      </c>
      <c r="R120" s="4" t="s">
        <v>251</v>
      </c>
      <c r="S120" t="s">
        <v>252</v>
      </c>
    </row>
    <row r="122" spans="1:19" ht="15" customHeight="1" x14ac:dyDescent="0.25">
      <c r="A122" t="s">
        <v>164</v>
      </c>
      <c r="B122" t="s">
        <v>253</v>
      </c>
      <c r="C122" t="s">
        <v>73</v>
      </c>
      <c r="D122" s="3">
        <v>45954</v>
      </c>
      <c r="E122" t="s">
        <v>54</v>
      </c>
      <c r="F122" t="s">
        <v>23</v>
      </c>
      <c r="G122" t="str">
        <f>"/code/TS3-"&amp;E122&amp;"/lexrank"</f>
        <v>/code/TS3-S3/lexrank</v>
      </c>
      <c r="H122" t="s">
        <v>166</v>
      </c>
      <c r="I122" t="str">
        <f t="shared" si="3"/>
        <v>/output/TS3/S3/LexRank/CPU</v>
      </c>
      <c r="J122">
        <v>1.66323075900027</v>
      </c>
      <c r="K122">
        <v>1.9999999999999999E-6</v>
      </c>
      <c r="L122">
        <v>1.9999999999999999E-6</v>
      </c>
      <c r="M122">
        <v>32.5</v>
      </c>
      <c r="N122" t="s">
        <v>25</v>
      </c>
      <c r="O122" t="s">
        <v>25</v>
      </c>
      <c r="P122">
        <v>9.9999999999999995E-7</v>
      </c>
      <c r="Q122">
        <v>20</v>
      </c>
      <c r="R122" s="4" t="s">
        <v>254</v>
      </c>
      <c r="S122" t="s">
        <v>255</v>
      </c>
    </row>
    <row r="123" spans="1:19" ht="15" customHeight="1" x14ac:dyDescent="0.25">
      <c r="A123" t="s">
        <v>164</v>
      </c>
      <c r="B123" t="s">
        <v>253</v>
      </c>
      <c r="C123" t="s">
        <v>73</v>
      </c>
      <c r="D123" s="3">
        <v>45954</v>
      </c>
      <c r="E123" t="s">
        <v>54</v>
      </c>
      <c r="F123" t="s">
        <v>23</v>
      </c>
      <c r="G123" t="str">
        <f t="shared" ref="G123:G126" si="8">"/code/TS3-"&amp;E123&amp;"/lexrank"</f>
        <v>/code/TS3-S3/lexrank</v>
      </c>
      <c r="H123" t="s">
        <v>169</v>
      </c>
      <c r="I123" t="str">
        <f t="shared" si="3"/>
        <v>/output/TS3/S3/LexRank/CPU</v>
      </c>
      <c r="J123">
        <v>1.61870890099999</v>
      </c>
      <c r="K123">
        <v>9.9999999999999995E-7</v>
      </c>
      <c r="L123">
        <v>9.9999999999999995E-7</v>
      </c>
      <c r="M123">
        <v>32.5</v>
      </c>
      <c r="N123" t="s">
        <v>25</v>
      </c>
      <c r="O123" t="s">
        <v>25</v>
      </c>
      <c r="P123">
        <v>9.9999999999999995E-7</v>
      </c>
      <c r="Q123">
        <v>20</v>
      </c>
      <c r="R123" s="4" t="s">
        <v>256</v>
      </c>
      <c r="S123" t="s">
        <v>257</v>
      </c>
    </row>
    <row r="124" spans="1:19" ht="15" customHeight="1" x14ac:dyDescent="0.25">
      <c r="A124" t="s">
        <v>164</v>
      </c>
      <c r="B124" t="s">
        <v>253</v>
      </c>
      <c r="C124" t="s">
        <v>73</v>
      </c>
      <c r="D124" s="3">
        <v>45954</v>
      </c>
      <c r="E124" t="s">
        <v>54</v>
      </c>
      <c r="F124" t="s">
        <v>23</v>
      </c>
      <c r="G124" t="str">
        <f t="shared" si="8"/>
        <v>/code/TS3-S3/lexrank</v>
      </c>
      <c r="H124" t="s">
        <v>172</v>
      </c>
      <c r="I124" t="str">
        <f t="shared" si="3"/>
        <v>/output/TS3/S3/LexRank/CPU</v>
      </c>
      <c r="J124">
        <v>2.48021374200016</v>
      </c>
      <c r="K124">
        <v>1.5E-5</v>
      </c>
      <c r="L124">
        <v>9.0000000000000002E-6</v>
      </c>
      <c r="M124">
        <v>32.5</v>
      </c>
      <c r="N124" t="s">
        <v>25</v>
      </c>
      <c r="O124" t="s">
        <v>25</v>
      </c>
      <c r="P124">
        <v>6.0000000000000002E-6</v>
      </c>
      <c r="Q124">
        <v>20</v>
      </c>
      <c r="R124" s="4" t="s">
        <v>258</v>
      </c>
      <c r="S124" t="s">
        <v>259</v>
      </c>
    </row>
    <row r="125" spans="1:19" ht="15" customHeight="1" x14ac:dyDescent="0.25">
      <c r="A125" t="s">
        <v>164</v>
      </c>
      <c r="B125" t="s">
        <v>253</v>
      </c>
      <c r="C125" t="s">
        <v>73</v>
      </c>
      <c r="D125" s="3">
        <v>45954</v>
      </c>
      <c r="E125" t="s">
        <v>54</v>
      </c>
      <c r="F125" t="s">
        <v>23</v>
      </c>
      <c r="G125" t="str">
        <f t="shared" si="8"/>
        <v>/code/TS3-S3/lexrank</v>
      </c>
      <c r="H125" t="s">
        <v>175</v>
      </c>
      <c r="I125" t="str">
        <f t="shared" si="3"/>
        <v>/output/TS3/S3/LexRank/CPU</v>
      </c>
      <c r="J125">
        <v>3.40723126200009</v>
      </c>
      <c r="K125">
        <v>2.6999999999999999E-5</v>
      </c>
      <c r="L125">
        <v>1.7E-5</v>
      </c>
      <c r="M125">
        <v>32.5</v>
      </c>
      <c r="N125" t="s">
        <v>25</v>
      </c>
      <c r="O125" t="s">
        <v>25</v>
      </c>
      <c r="P125">
        <v>1.0000000000000001E-5</v>
      </c>
      <c r="Q125">
        <v>20</v>
      </c>
      <c r="R125" s="4" t="s">
        <v>260</v>
      </c>
      <c r="S125" t="s">
        <v>261</v>
      </c>
    </row>
    <row r="126" spans="1:19" ht="15" customHeight="1" x14ac:dyDescent="0.25">
      <c r="A126" t="s">
        <v>164</v>
      </c>
      <c r="B126" t="s">
        <v>253</v>
      </c>
      <c r="C126" t="s">
        <v>73</v>
      </c>
      <c r="D126" s="3">
        <v>45954</v>
      </c>
      <c r="E126" t="s">
        <v>54</v>
      </c>
      <c r="F126" t="s">
        <v>23</v>
      </c>
      <c r="G126" t="str">
        <f t="shared" si="8"/>
        <v>/code/TS3-S3/lexrank</v>
      </c>
      <c r="H126" t="s">
        <v>178</v>
      </c>
      <c r="I126" t="str">
        <f t="shared" si="3"/>
        <v>/output/TS3/S3/LexRank/CPU</v>
      </c>
      <c r="J126">
        <v>1.7606556949999601</v>
      </c>
      <c r="K126">
        <v>5.0000000000000004E-6</v>
      </c>
      <c r="L126">
        <v>3.0000000000000001E-6</v>
      </c>
      <c r="M126">
        <v>32.5</v>
      </c>
      <c r="N126" t="s">
        <v>25</v>
      </c>
      <c r="O126" t="s">
        <v>25</v>
      </c>
      <c r="P126">
        <v>1.9999999999999999E-6</v>
      </c>
      <c r="Q126">
        <v>20</v>
      </c>
      <c r="R126" s="4" t="s">
        <v>262</v>
      </c>
      <c r="S126" t="s">
        <v>263</v>
      </c>
    </row>
    <row r="127" spans="1:19" ht="15" customHeight="1" x14ac:dyDescent="0.25">
      <c r="A127" t="s">
        <v>164</v>
      </c>
      <c r="B127" t="s">
        <v>253</v>
      </c>
      <c r="C127" t="s">
        <v>134</v>
      </c>
      <c r="D127" s="3">
        <v>45954</v>
      </c>
      <c r="E127" t="s">
        <v>54</v>
      </c>
      <c r="F127" t="s">
        <v>23</v>
      </c>
      <c r="G127" t="str">
        <f t="shared" ref="G127:G136" si="9">"/code/TS3-"&amp;E127&amp;"/mlongt5"</f>
        <v>/code/TS3-S3/mlongt5</v>
      </c>
      <c r="H127" t="s">
        <v>166</v>
      </c>
      <c r="I127" t="str">
        <f t="shared" si="3"/>
        <v>/output/TS3/S3/mLongT5/CPU</v>
      </c>
      <c r="J127">
        <v>198.38405784899899</v>
      </c>
      <c r="K127">
        <v>2.8739999999999998E-3</v>
      </c>
      <c r="L127">
        <v>1.779E-3</v>
      </c>
      <c r="M127">
        <v>32.5</v>
      </c>
      <c r="N127" t="s">
        <v>25</v>
      </c>
      <c r="O127" t="s">
        <v>25</v>
      </c>
      <c r="P127">
        <v>1.0950000000000001E-3</v>
      </c>
      <c r="Q127">
        <v>20</v>
      </c>
      <c r="R127" s="4" t="s">
        <v>264</v>
      </c>
      <c r="S127" t="s">
        <v>265</v>
      </c>
    </row>
    <row r="128" spans="1:19" ht="15" customHeight="1" x14ac:dyDescent="0.25">
      <c r="A128" t="s">
        <v>164</v>
      </c>
      <c r="B128" t="s">
        <v>253</v>
      </c>
      <c r="C128" t="s">
        <v>134</v>
      </c>
      <c r="D128" s="3">
        <v>45954</v>
      </c>
      <c r="E128" t="s">
        <v>54</v>
      </c>
      <c r="F128" t="s">
        <v>48</v>
      </c>
      <c r="G128" t="str">
        <f t="shared" si="9"/>
        <v>/code/TS3-S3/mlongt5</v>
      </c>
      <c r="H128" t="s">
        <v>166</v>
      </c>
      <c r="I128" t="str">
        <f t="shared" si="3"/>
        <v>/output/TS3/S3/mLongT5/GPU</v>
      </c>
      <c r="J128">
        <v>60.455513714001398</v>
      </c>
      <c r="K128">
        <v>1.7750000000000001E-3</v>
      </c>
      <c r="L128">
        <v>5.2899999999999996E-4</v>
      </c>
      <c r="M128">
        <v>32.5</v>
      </c>
      <c r="N128">
        <v>9.2000000000000003E-4</v>
      </c>
      <c r="O128">
        <v>83.780252946885298</v>
      </c>
      <c r="P128">
        <v>3.2499999999999999E-4</v>
      </c>
      <c r="Q128">
        <v>20</v>
      </c>
      <c r="R128" s="4" t="s">
        <v>266</v>
      </c>
      <c r="S128" t="s">
        <v>267</v>
      </c>
    </row>
    <row r="129" spans="1:19" ht="15" customHeight="1" x14ac:dyDescent="0.25">
      <c r="A129" t="s">
        <v>164</v>
      </c>
      <c r="B129" t="s">
        <v>253</v>
      </c>
      <c r="C129" t="s">
        <v>134</v>
      </c>
      <c r="D129" s="3">
        <v>45954</v>
      </c>
      <c r="E129" t="s">
        <v>54</v>
      </c>
      <c r="F129" t="s">
        <v>23</v>
      </c>
      <c r="G129" t="str">
        <f t="shared" si="9"/>
        <v>/code/TS3-S3/mlongt5</v>
      </c>
      <c r="H129" t="s">
        <v>169</v>
      </c>
      <c r="I129" t="str">
        <f t="shared" si="3"/>
        <v>/output/TS3/S3/mLongT5/CPU</v>
      </c>
      <c r="J129">
        <v>141.43143828000001</v>
      </c>
      <c r="K129">
        <v>2.0430000000000001E-3</v>
      </c>
      <c r="L129">
        <v>1.2650000000000001E-3</v>
      </c>
      <c r="M129">
        <v>32.5</v>
      </c>
      <c r="N129" t="s">
        <v>25</v>
      </c>
      <c r="O129" t="s">
        <v>25</v>
      </c>
      <c r="P129">
        <v>7.7800000000000005E-4</v>
      </c>
      <c r="Q129">
        <v>20</v>
      </c>
      <c r="R129" s="4" t="s">
        <v>268</v>
      </c>
      <c r="S129" t="s">
        <v>269</v>
      </c>
    </row>
    <row r="130" spans="1:19" ht="15" customHeight="1" x14ac:dyDescent="0.25">
      <c r="A130" t="s">
        <v>164</v>
      </c>
      <c r="B130" t="s">
        <v>253</v>
      </c>
      <c r="C130" t="s">
        <v>134</v>
      </c>
      <c r="D130" s="3">
        <v>45954</v>
      </c>
      <c r="E130" t="s">
        <v>54</v>
      </c>
      <c r="F130" t="s">
        <v>48</v>
      </c>
      <c r="G130" t="str">
        <f t="shared" si="9"/>
        <v>/code/TS3-S3/mlongt5</v>
      </c>
      <c r="H130" t="s">
        <v>169</v>
      </c>
      <c r="I130" t="str">
        <f t="shared" si="3"/>
        <v>/output/TS3/S3/mLongT5/GPU</v>
      </c>
      <c r="J130">
        <v>49.986265390999897</v>
      </c>
      <c r="K130">
        <v>1.3760000000000001E-3</v>
      </c>
      <c r="L130">
        <v>4.37E-4</v>
      </c>
      <c r="M130">
        <v>32.5</v>
      </c>
      <c r="N130">
        <v>6.7000000000000002E-4</v>
      </c>
      <c r="O130">
        <v>83.351912769893403</v>
      </c>
      <c r="P130">
        <v>2.6899999999999998E-4</v>
      </c>
      <c r="Q130">
        <v>20</v>
      </c>
      <c r="R130" s="4" t="s">
        <v>270</v>
      </c>
      <c r="S130" t="s">
        <v>271</v>
      </c>
    </row>
    <row r="131" spans="1:19" ht="15" customHeight="1" x14ac:dyDescent="0.25">
      <c r="A131" t="s">
        <v>164</v>
      </c>
      <c r="B131" t="s">
        <v>253</v>
      </c>
      <c r="C131" t="s">
        <v>134</v>
      </c>
      <c r="D131" s="3">
        <v>45954</v>
      </c>
      <c r="E131" t="s">
        <v>54</v>
      </c>
      <c r="F131" t="s">
        <v>23</v>
      </c>
      <c r="G131" t="str">
        <f t="shared" si="9"/>
        <v>/code/TS3-S3/mlongt5</v>
      </c>
      <c r="H131" t="s">
        <v>172</v>
      </c>
      <c r="I131" t="str">
        <f t="shared" ref="I131:I146" si="10">"/output/"&amp;B131&amp;"/"&amp;C131&amp;"/"&amp;F131</f>
        <v>/output/TS3/S3/mLongT5/CPU</v>
      </c>
      <c r="J131">
        <v>670.144592257</v>
      </c>
      <c r="K131">
        <v>9.7540000000000005E-3</v>
      </c>
      <c r="L131">
        <v>6.038E-3</v>
      </c>
      <c r="M131">
        <v>32.5</v>
      </c>
      <c r="N131" t="s">
        <v>25</v>
      </c>
      <c r="O131" t="s">
        <v>25</v>
      </c>
      <c r="P131">
        <v>3.7160000000000001E-3</v>
      </c>
      <c r="Q131">
        <v>20</v>
      </c>
      <c r="R131" s="4" t="s">
        <v>272</v>
      </c>
      <c r="S131" t="s">
        <v>273</v>
      </c>
    </row>
    <row r="132" spans="1:19" ht="15" customHeight="1" x14ac:dyDescent="0.25">
      <c r="A132" t="s">
        <v>164</v>
      </c>
      <c r="B132" t="s">
        <v>253</v>
      </c>
      <c r="C132" t="s">
        <v>134</v>
      </c>
      <c r="D132" s="3">
        <v>45954</v>
      </c>
      <c r="E132" t="s">
        <v>54</v>
      </c>
      <c r="F132" t="s">
        <v>48</v>
      </c>
      <c r="G132" t="str">
        <f t="shared" si="9"/>
        <v>/code/TS3-S3/mlongt5</v>
      </c>
      <c r="H132" t="s">
        <v>172</v>
      </c>
      <c r="I132" t="str">
        <f t="shared" si="10"/>
        <v>/output/TS3/S3/mLongT5/GPU</v>
      </c>
      <c r="J132">
        <v>50.063651768999897</v>
      </c>
      <c r="K132">
        <v>1.8810000000000001E-3</v>
      </c>
      <c r="L132">
        <v>4.3800000000000002E-4</v>
      </c>
      <c r="M132">
        <v>32.5</v>
      </c>
      <c r="N132">
        <v>1.173E-3</v>
      </c>
      <c r="O132">
        <v>157.82269247561101</v>
      </c>
      <c r="P132">
        <v>2.7E-4</v>
      </c>
      <c r="Q132">
        <v>20</v>
      </c>
      <c r="R132" s="4" t="s">
        <v>274</v>
      </c>
      <c r="S132" t="s">
        <v>275</v>
      </c>
    </row>
    <row r="133" spans="1:19" ht="15" customHeight="1" x14ac:dyDescent="0.25">
      <c r="A133" t="s">
        <v>164</v>
      </c>
      <c r="B133" t="s">
        <v>253</v>
      </c>
      <c r="C133" t="s">
        <v>134</v>
      </c>
      <c r="D133" s="3">
        <v>45954</v>
      </c>
      <c r="E133" t="s">
        <v>54</v>
      </c>
      <c r="F133" t="s">
        <v>23</v>
      </c>
      <c r="G133" t="str">
        <f t="shared" si="9"/>
        <v>/code/TS3-S3/mlongt5</v>
      </c>
      <c r="H133" t="s">
        <v>175</v>
      </c>
      <c r="I133" t="str">
        <f t="shared" si="10"/>
        <v>/output/TS3/S3/mLongT5/CPU</v>
      </c>
      <c r="J133">
        <v>295.150229572</v>
      </c>
      <c r="K133">
        <v>4.2849999999999997E-3</v>
      </c>
      <c r="L133">
        <v>2.653E-3</v>
      </c>
      <c r="M133">
        <v>32.5</v>
      </c>
      <c r="N133" t="s">
        <v>25</v>
      </c>
      <c r="O133" t="s">
        <v>25</v>
      </c>
      <c r="P133">
        <v>1.632E-3</v>
      </c>
      <c r="Q133">
        <v>20</v>
      </c>
      <c r="R133" s="4" t="s">
        <v>276</v>
      </c>
      <c r="S133" t="s">
        <v>277</v>
      </c>
    </row>
    <row r="134" spans="1:19" ht="15" customHeight="1" x14ac:dyDescent="0.25">
      <c r="A134" t="s">
        <v>164</v>
      </c>
      <c r="B134" t="s">
        <v>253</v>
      </c>
      <c r="C134" t="s">
        <v>134</v>
      </c>
      <c r="D134" s="3">
        <v>45954</v>
      </c>
      <c r="E134" t="s">
        <v>54</v>
      </c>
      <c r="F134" t="s">
        <v>48</v>
      </c>
      <c r="G134" t="str">
        <f t="shared" si="9"/>
        <v>/code/TS3-S3/mlongt5</v>
      </c>
      <c r="H134" t="s">
        <v>175</v>
      </c>
      <c r="I134" t="str">
        <f t="shared" si="10"/>
        <v>/output/TS3/S3/mLongT5/GPU</v>
      </c>
      <c r="J134">
        <v>78.125925052999904</v>
      </c>
      <c r="K134">
        <v>2.5460000000000001E-3</v>
      </c>
      <c r="L134">
        <v>6.9099999999999999E-4</v>
      </c>
      <c r="M134">
        <v>32.5</v>
      </c>
      <c r="N134">
        <v>1.4289999999999999E-3</v>
      </c>
      <c r="O134">
        <v>100.167740069494</v>
      </c>
      <c r="P134">
        <v>4.26E-4</v>
      </c>
      <c r="Q134">
        <v>20</v>
      </c>
      <c r="R134" s="4" t="s">
        <v>278</v>
      </c>
      <c r="S134" t="s">
        <v>279</v>
      </c>
    </row>
    <row r="135" spans="1:19" ht="15" customHeight="1" x14ac:dyDescent="0.25">
      <c r="A135" t="s">
        <v>164</v>
      </c>
      <c r="B135" t="s">
        <v>253</v>
      </c>
      <c r="C135" t="s">
        <v>134</v>
      </c>
      <c r="D135" s="3">
        <v>45954</v>
      </c>
      <c r="E135" t="s">
        <v>54</v>
      </c>
      <c r="F135" t="s">
        <v>23</v>
      </c>
      <c r="G135" t="str">
        <f t="shared" si="9"/>
        <v>/code/TS3-S3/mlongt5</v>
      </c>
      <c r="H135" t="s">
        <v>178</v>
      </c>
      <c r="I135" t="str">
        <f t="shared" si="10"/>
        <v>/output/TS3/S3/mLongT5/CPU</v>
      </c>
      <c r="J135">
        <v>110.61737911100001</v>
      </c>
      <c r="K135">
        <v>1.5939999999999999E-3</v>
      </c>
      <c r="L135">
        <v>9.8700000000000003E-4</v>
      </c>
      <c r="M135">
        <v>32.5</v>
      </c>
      <c r="N135" t="s">
        <v>25</v>
      </c>
      <c r="O135" t="s">
        <v>25</v>
      </c>
      <c r="P135">
        <v>6.0700000000000001E-4</v>
      </c>
      <c r="Q135">
        <v>20</v>
      </c>
      <c r="R135" s="4" t="s">
        <v>280</v>
      </c>
      <c r="S135" t="s">
        <v>281</v>
      </c>
    </row>
    <row r="136" spans="1:19" ht="15" customHeight="1" x14ac:dyDescent="0.25">
      <c r="A136" t="s">
        <v>164</v>
      </c>
      <c r="B136" t="s">
        <v>253</v>
      </c>
      <c r="C136" t="s">
        <v>134</v>
      </c>
      <c r="D136" s="3">
        <v>45954</v>
      </c>
      <c r="E136" t="s">
        <v>54</v>
      </c>
      <c r="F136" t="s">
        <v>48</v>
      </c>
      <c r="G136" t="str">
        <f t="shared" si="9"/>
        <v>/code/TS3-S3/mlongt5</v>
      </c>
      <c r="H136" t="s">
        <v>178</v>
      </c>
      <c r="I136" t="str">
        <f t="shared" si="10"/>
        <v>/output/TS3/S3/mLongT5/GPU</v>
      </c>
      <c r="J136">
        <v>40.186660885000002</v>
      </c>
      <c r="K136">
        <v>1.0640000000000001E-3</v>
      </c>
      <c r="L136">
        <v>3.4900000000000003E-4</v>
      </c>
      <c r="M136">
        <v>32.5</v>
      </c>
      <c r="N136">
        <v>5.0100000000000003E-4</v>
      </c>
      <c r="O136">
        <v>93.220206311745898</v>
      </c>
      <c r="P136">
        <v>2.1499999999999999E-4</v>
      </c>
      <c r="Q136">
        <v>20</v>
      </c>
      <c r="R136" s="4" t="s">
        <v>282</v>
      </c>
      <c r="S136" t="s">
        <v>283</v>
      </c>
    </row>
    <row r="137" spans="1:19" ht="15" customHeight="1" x14ac:dyDescent="0.25">
      <c r="A137" t="s">
        <v>164</v>
      </c>
      <c r="B137" t="s">
        <v>253</v>
      </c>
      <c r="C137" t="s">
        <v>191</v>
      </c>
      <c r="D137" s="3">
        <v>45954</v>
      </c>
      <c r="E137" t="s">
        <v>54</v>
      </c>
      <c r="F137" t="s">
        <v>23</v>
      </c>
      <c r="G137" t="str">
        <f t="shared" ref="G137:G146" si="11">"/code/TS3-"&amp;E137&amp;"/mistralnemo"</f>
        <v>/code/TS3-S3/mistralnemo</v>
      </c>
      <c r="H137" t="s">
        <v>166</v>
      </c>
      <c r="I137" t="str">
        <f t="shared" si="10"/>
        <v>/output/TS3/S3/Mistral Nemo/CPU</v>
      </c>
      <c r="J137">
        <v>417.53588007099802</v>
      </c>
      <c r="K137">
        <v>6.0699999999999999E-3</v>
      </c>
      <c r="L137">
        <v>3.7569999999999999E-3</v>
      </c>
      <c r="M137">
        <v>32.5</v>
      </c>
      <c r="N137" t="s">
        <v>25</v>
      </c>
      <c r="O137" t="s">
        <v>25</v>
      </c>
      <c r="P137">
        <v>2.3119999999999998E-3</v>
      </c>
      <c r="Q137">
        <v>20</v>
      </c>
      <c r="R137" s="4" t="s">
        <v>284</v>
      </c>
      <c r="S137" t="s">
        <v>285</v>
      </c>
    </row>
    <row r="138" spans="1:19" ht="15" customHeight="1" x14ac:dyDescent="0.25">
      <c r="A138" t="s">
        <v>164</v>
      </c>
      <c r="B138" t="s">
        <v>253</v>
      </c>
      <c r="C138" t="s">
        <v>191</v>
      </c>
      <c r="D138" s="3">
        <v>45954</v>
      </c>
      <c r="E138" t="s">
        <v>54</v>
      </c>
      <c r="F138" t="s">
        <v>48</v>
      </c>
      <c r="G138" t="str">
        <f t="shared" si="11"/>
        <v>/code/TS3-S3/mistralnemo</v>
      </c>
      <c r="H138" t="s">
        <v>166</v>
      </c>
      <c r="I138" t="str">
        <f t="shared" si="10"/>
        <v>/output/TS3/S3/Mistral Nemo/GPU</v>
      </c>
      <c r="J138">
        <v>9.5994246590016701</v>
      </c>
      <c r="K138">
        <v>5.5500000000000005E-4</v>
      </c>
      <c r="L138">
        <v>7.4999999999999993E-5</v>
      </c>
      <c r="M138">
        <v>32.5</v>
      </c>
      <c r="N138">
        <v>4.3399999999999998E-4</v>
      </c>
      <c r="O138">
        <v>188.696470822306</v>
      </c>
      <c r="P138">
        <v>4.6E-5</v>
      </c>
      <c r="Q138">
        <v>20</v>
      </c>
      <c r="R138" s="4" t="s">
        <v>286</v>
      </c>
      <c r="S138" t="s">
        <v>287</v>
      </c>
    </row>
    <row r="139" spans="1:19" ht="15" customHeight="1" x14ac:dyDescent="0.25">
      <c r="A139" t="s">
        <v>164</v>
      </c>
      <c r="B139" t="s">
        <v>253</v>
      </c>
      <c r="C139" t="s">
        <v>191</v>
      </c>
      <c r="D139" s="3">
        <v>45954</v>
      </c>
      <c r="E139" t="s">
        <v>54</v>
      </c>
      <c r="F139" t="s">
        <v>23</v>
      </c>
      <c r="G139" t="str">
        <f t="shared" si="11"/>
        <v>/code/TS3-S3/mistralnemo</v>
      </c>
      <c r="H139" t="s">
        <v>169</v>
      </c>
      <c r="I139" t="str">
        <f t="shared" si="10"/>
        <v>/output/TS3/S3/Mistral Nemo/CPU</v>
      </c>
      <c r="J139">
        <v>203.13048774299901</v>
      </c>
      <c r="K139">
        <v>2.9429999999999999E-3</v>
      </c>
      <c r="L139">
        <v>1.8220000000000001E-3</v>
      </c>
      <c r="M139">
        <v>32.5</v>
      </c>
      <c r="N139" t="s">
        <v>25</v>
      </c>
      <c r="O139" t="s">
        <v>25</v>
      </c>
      <c r="P139">
        <v>1.121E-3</v>
      </c>
      <c r="Q139">
        <v>20</v>
      </c>
      <c r="R139" s="4" t="s">
        <v>288</v>
      </c>
      <c r="S139" t="s">
        <v>289</v>
      </c>
    </row>
    <row r="140" spans="1:19" ht="15" customHeight="1" x14ac:dyDescent="0.25">
      <c r="A140" t="s">
        <v>164</v>
      </c>
      <c r="B140" t="s">
        <v>253</v>
      </c>
      <c r="C140" t="s">
        <v>191</v>
      </c>
      <c r="D140" s="3">
        <v>45954</v>
      </c>
      <c r="E140" t="s">
        <v>54</v>
      </c>
      <c r="F140" t="s">
        <v>48</v>
      </c>
      <c r="G140" t="str">
        <f t="shared" si="11"/>
        <v>/code/TS3-S3/mistralnemo</v>
      </c>
      <c r="H140" t="s">
        <v>169</v>
      </c>
      <c r="I140" t="str">
        <f t="shared" si="10"/>
        <v>/output/TS3/S3/Mistral Nemo/GPU</v>
      </c>
      <c r="J140">
        <v>7.9394044500004304</v>
      </c>
      <c r="K140">
        <v>4.4200000000000001E-4</v>
      </c>
      <c r="L140">
        <v>6.0000000000000002E-5</v>
      </c>
      <c r="M140">
        <v>32.5</v>
      </c>
      <c r="N140">
        <v>3.4600000000000001E-4</v>
      </c>
      <c r="O140">
        <v>188.40227857083701</v>
      </c>
      <c r="P140">
        <v>3.6999999999999998E-5</v>
      </c>
      <c r="Q140">
        <v>20</v>
      </c>
      <c r="R140" s="4" t="s">
        <v>290</v>
      </c>
      <c r="S140" t="s">
        <v>291</v>
      </c>
    </row>
    <row r="141" spans="1:19" ht="15" customHeight="1" x14ac:dyDescent="0.25">
      <c r="A141" t="s">
        <v>164</v>
      </c>
      <c r="B141" t="s">
        <v>253</v>
      </c>
      <c r="C141" t="s">
        <v>191</v>
      </c>
      <c r="D141" s="3">
        <v>45954</v>
      </c>
      <c r="E141" t="s">
        <v>54</v>
      </c>
      <c r="F141" t="s">
        <v>23</v>
      </c>
      <c r="G141" t="str">
        <f t="shared" si="11"/>
        <v>/code/TS3-S3/mistralnemo</v>
      </c>
      <c r="H141" t="s">
        <v>172</v>
      </c>
      <c r="I141" t="str">
        <f t="shared" si="10"/>
        <v>/output/TS3/S3/Mistral Nemo/CPU</v>
      </c>
      <c r="J141">
        <v>853.12648367499901</v>
      </c>
      <c r="K141">
        <v>1.2422000000000001E-2</v>
      </c>
      <c r="L141">
        <v>7.6899999999999998E-3</v>
      </c>
      <c r="M141">
        <v>32.5</v>
      </c>
      <c r="N141" t="s">
        <v>25</v>
      </c>
      <c r="O141" t="s">
        <v>25</v>
      </c>
      <c r="P141">
        <v>4.7320000000000001E-3</v>
      </c>
      <c r="Q141">
        <v>20</v>
      </c>
      <c r="R141" s="4" t="s">
        <v>292</v>
      </c>
      <c r="S141" t="s">
        <v>293</v>
      </c>
    </row>
    <row r="142" spans="1:19" ht="15" customHeight="1" x14ac:dyDescent="0.25">
      <c r="A142" t="s">
        <v>164</v>
      </c>
      <c r="B142" t="s">
        <v>253</v>
      </c>
      <c r="C142" t="s">
        <v>191</v>
      </c>
      <c r="D142" s="3">
        <v>45954</v>
      </c>
      <c r="E142" t="s">
        <v>54</v>
      </c>
      <c r="F142" t="s">
        <v>48</v>
      </c>
      <c r="G142" t="str">
        <f t="shared" si="11"/>
        <v>/code/TS3-S3/mistralnemo</v>
      </c>
      <c r="H142" t="s">
        <v>172</v>
      </c>
      <c r="I142" t="str">
        <f t="shared" si="10"/>
        <v>/output/TS3/S3/Mistral Nemo/GPU</v>
      </c>
      <c r="J142">
        <v>16.483709479000002</v>
      </c>
      <c r="K142">
        <v>1.1609999999999999E-3</v>
      </c>
      <c r="L142">
        <v>1.37E-4</v>
      </c>
      <c r="M142">
        <v>32.5</v>
      </c>
      <c r="N142">
        <v>9.3999999999999997E-4</v>
      </c>
      <c r="O142">
        <v>149.40040459425899</v>
      </c>
      <c r="P142">
        <v>8.3999999999999995E-5</v>
      </c>
      <c r="Q142">
        <v>20</v>
      </c>
      <c r="R142" s="4" t="s">
        <v>294</v>
      </c>
      <c r="S142" t="s">
        <v>295</v>
      </c>
    </row>
    <row r="143" spans="1:19" ht="15" customHeight="1" x14ac:dyDescent="0.25">
      <c r="A143" t="s">
        <v>164</v>
      </c>
      <c r="B143" t="s">
        <v>253</v>
      </c>
      <c r="C143" t="s">
        <v>191</v>
      </c>
      <c r="D143" s="3">
        <v>45954</v>
      </c>
      <c r="E143" t="s">
        <v>54</v>
      </c>
      <c r="F143" t="s">
        <v>23</v>
      </c>
      <c r="G143" t="str">
        <f t="shared" si="11"/>
        <v>/code/TS3-S3/mistralnemo</v>
      </c>
      <c r="H143" t="s">
        <v>175</v>
      </c>
      <c r="I143" t="str">
        <f t="shared" si="10"/>
        <v>/output/TS3/S3/Mistral Nemo/CPU</v>
      </c>
      <c r="J143">
        <v>994.40590268100198</v>
      </c>
      <c r="K143">
        <v>1.4482E-2</v>
      </c>
      <c r="L143">
        <v>8.9650000000000007E-3</v>
      </c>
      <c r="M143">
        <v>32.5</v>
      </c>
      <c r="N143" t="s">
        <v>25</v>
      </c>
      <c r="O143" t="s">
        <v>25</v>
      </c>
      <c r="P143">
        <v>5.5170000000000002E-3</v>
      </c>
      <c r="Q143">
        <v>20</v>
      </c>
      <c r="R143" s="4" t="s">
        <v>296</v>
      </c>
      <c r="S143" t="s">
        <v>297</v>
      </c>
    </row>
    <row r="144" spans="1:19" ht="15" customHeight="1" x14ac:dyDescent="0.25">
      <c r="A144" t="s">
        <v>164</v>
      </c>
      <c r="B144" t="s">
        <v>253</v>
      </c>
      <c r="C144" t="s">
        <v>191</v>
      </c>
      <c r="D144" s="3">
        <v>45954</v>
      </c>
      <c r="E144" t="s">
        <v>54</v>
      </c>
      <c r="F144" t="s">
        <v>48</v>
      </c>
      <c r="G144" t="str">
        <f t="shared" si="11"/>
        <v>/code/TS3-S3/mistralnemo</v>
      </c>
      <c r="H144" t="s">
        <v>175</v>
      </c>
      <c r="I144" t="str">
        <f t="shared" si="10"/>
        <v>/output/TS3/S3/Mistral Nemo/GPU</v>
      </c>
      <c r="J144">
        <v>45.646572687000997</v>
      </c>
      <c r="K144">
        <v>3.189E-3</v>
      </c>
      <c r="L144">
        <v>4.0000000000000002E-4</v>
      </c>
      <c r="M144">
        <v>32.5</v>
      </c>
      <c r="N144">
        <v>2.5430000000000001E-3</v>
      </c>
      <c r="O144">
        <v>209.54036401146999</v>
      </c>
      <c r="P144">
        <v>2.4600000000000002E-4</v>
      </c>
      <c r="Q144">
        <v>20</v>
      </c>
      <c r="R144" s="4" t="s">
        <v>298</v>
      </c>
      <c r="S144" t="s">
        <v>299</v>
      </c>
    </row>
    <row r="145" spans="1:19" ht="15" customHeight="1" x14ac:dyDescent="0.25">
      <c r="A145" t="s">
        <v>164</v>
      </c>
      <c r="B145" t="s">
        <v>253</v>
      </c>
      <c r="C145" t="s">
        <v>191</v>
      </c>
      <c r="D145" s="3">
        <v>45954</v>
      </c>
      <c r="E145" t="s">
        <v>54</v>
      </c>
      <c r="F145" t="s">
        <v>23</v>
      </c>
      <c r="G145" t="str">
        <f t="shared" si="11"/>
        <v>/code/TS3-S3/mistralnemo</v>
      </c>
      <c r="H145" t="s">
        <v>178</v>
      </c>
      <c r="I145" t="str">
        <f t="shared" si="10"/>
        <v>/output/TS3/S3/Mistral Nemo/CPU</v>
      </c>
      <c r="J145">
        <v>688.69561948099999</v>
      </c>
      <c r="K145">
        <v>1.0024E-2</v>
      </c>
      <c r="L145">
        <v>6.2049999999999996E-3</v>
      </c>
      <c r="M145">
        <v>32.5</v>
      </c>
      <c r="N145" t="s">
        <v>25</v>
      </c>
      <c r="O145" t="s">
        <v>25</v>
      </c>
      <c r="P145">
        <v>3.8189999999999999E-3</v>
      </c>
      <c r="Q145">
        <v>20</v>
      </c>
      <c r="R145" s="4" t="s">
        <v>300</v>
      </c>
      <c r="S145" t="s">
        <v>301</v>
      </c>
    </row>
    <row r="146" spans="1:19" ht="15" customHeight="1" x14ac:dyDescent="0.25">
      <c r="A146" t="s">
        <v>164</v>
      </c>
      <c r="B146" t="s">
        <v>253</v>
      </c>
      <c r="C146" t="s">
        <v>191</v>
      </c>
      <c r="D146" s="3">
        <v>45954</v>
      </c>
      <c r="E146" t="s">
        <v>54</v>
      </c>
      <c r="F146" t="s">
        <v>48</v>
      </c>
      <c r="G146" t="str">
        <f t="shared" si="11"/>
        <v>/code/TS3-S3/mistralnemo</v>
      </c>
      <c r="H146" t="s">
        <v>178</v>
      </c>
      <c r="I146" t="str">
        <f t="shared" si="10"/>
        <v>/output/TS3/S3/Mistral Nemo/GPU</v>
      </c>
      <c r="J146">
        <v>16.974249656999699</v>
      </c>
      <c r="K146">
        <v>1.1249999999999999E-3</v>
      </c>
      <c r="L146">
        <v>1.4100000000000001E-4</v>
      </c>
      <c r="M146">
        <v>32.5</v>
      </c>
      <c r="N146">
        <v>8.9700000000000001E-4</v>
      </c>
      <c r="O146">
        <v>202.35643389222</v>
      </c>
      <c r="P146">
        <v>8.7000000000000001E-5</v>
      </c>
      <c r="Q146">
        <v>20</v>
      </c>
      <c r="R146" s="4" t="s">
        <v>302</v>
      </c>
      <c r="S146" t="s">
        <v>303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Uni-Bamberg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Jegan, Robin</dc:creator>
  <cp:lastModifiedBy>Jegan, Robin</cp:lastModifiedBy>
  <dcterms:created xsi:type="dcterms:W3CDTF">2025-12-03T13:54:23Z</dcterms:created>
  <dcterms:modified xsi:type="dcterms:W3CDTF">2026-01-16T12:35:15Z</dcterms:modified>
</cp:coreProperties>
</file>