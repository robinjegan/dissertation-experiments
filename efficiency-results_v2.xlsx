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5kv4\git\dissertation-experiments\"/>
    </mc:Choice>
  </mc:AlternateContent>
  <xr:revisionPtr revIDLastSave="0" documentId="13_ncr:1_{066AEF14-556D-4D68-8773-7D3D50F0E2DE}" xr6:coauthVersionLast="47" xr6:coauthVersionMax="47" xr10:uidLastSave="{00000000-0000-0000-0000-000000000000}"/>
  <bookViews>
    <workbookView xWindow="-120" yWindow="-120" windowWidth="38640" windowHeight="21120" activeTab="3" xr2:uid="{25DE5334-8C91-426F-A24A-6E4284BCB023}"/>
  </bookViews>
  <sheets>
    <sheet name="Full" sheetId="1" r:id="rId1"/>
    <sheet name="S1_Small-Scale" sheetId="2" r:id="rId2"/>
    <sheet name="S2_Small-Scale" sheetId="3" r:id="rId3"/>
    <sheet name="S3_Small-Sca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2" l="1"/>
  <c r="F16" i="2"/>
  <c r="F15" i="2"/>
  <c r="F83" i="4"/>
  <c r="F84" i="4"/>
  <c r="F86" i="4"/>
  <c r="F87" i="4"/>
  <c r="F89" i="4"/>
  <c r="F90" i="4"/>
  <c r="F92" i="4"/>
  <c r="F93" i="4"/>
  <c r="F95" i="4"/>
  <c r="F96" i="4"/>
  <c r="F98" i="4"/>
  <c r="F99" i="4"/>
  <c r="F101" i="4"/>
  <c r="F102" i="4"/>
  <c r="F104" i="4"/>
  <c r="F105" i="4"/>
  <c r="F107" i="4"/>
  <c r="F108" i="4"/>
  <c r="F110" i="4"/>
  <c r="F111" i="4"/>
  <c r="F113" i="4"/>
  <c r="F114" i="4"/>
  <c r="F116" i="4"/>
  <c r="F117" i="4"/>
  <c r="F119" i="4"/>
  <c r="F120" i="4"/>
  <c r="F122" i="4"/>
  <c r="F123" i="4"/>
  <c r="F125" i="4"/>
  <c r="F126" i="4"/>
  <c r="F128" i="4"/>
  <c r="F129" i="4"/>
  <c r="F131" i="4"/>
  <c r="F132" i="4"/>
  <c r="F134" i="4"/>
  <c r="F135" i="4"/>
  <c r="F137" i="4"/>
  <c r="F138" i="4"/>
  <c r="F140" i="4"/>
  <c r="F141" i="4"/>
  <c r="F143" i="4"/>
  <c r="F144" i="4"/>
  <c r="F146" i="4"/>
  <c r="F147" i="4"/>
  <c r="F149" i="4"/>
  <c r="F150" i="4"/>
  <c r="F152" i="4"/>
  <c r="F153" i="4"/>
  <c r="F155" i="4"/>
  <c r="F156" i="4"/>
  <c r="F60" i="4"/>
  <c r="F61" i="4"/>
  <c r="F63" i="4"/>
  <c r="F64" i="4"/>
  <c r="F66" i="4"/>
  <c r="F67" i="4"/>
  <c r="F69" i="4"/>
  <c r="F70" i="4"/>
  <c r="F72" i="4"/>
  <c r="F73" i="4"/>
  <c r="F75" i="4"/>
  <c r="F76" i="4"/>
  <c r="F78" i="4"/>
  <c r="F79" i="4"/>
  <c r="F29" i="4"/>
  <c r="F31" i="4"/>
  <c r="F32" i="4"/>
  <c r="F34" i="4"/>
  <c r="F35" i="4"/>
  <c r="F37" i="4"/>
  <c r="F38" i="4"/>
  <c r="F40" i="4"/>
  <c r="F41" i="4"/>
  <c r="F43" i="4"/>
  <c r="F44" i="4"/>
  <c r="F46" i="4"/>
  <c r="F47" i="4"/>
  <c r="F49" i="4"/>
  <c r="F50" i="4"/>
  <c r="F52" i="4"/>
  <c r="F53" i="4"/>
  <c r="F55" i="4"/>
  <c r="F56" i="4"/>
  <c r="F28" i="4"/>
  <c r="F23" i="4"/>
  <c r="F24" i="4"/>
  <c r="F20" i="4"/>
  <c r="F21" i="4"/>
  <c r="F17" i="4"/>
  <c r="F18" i="4"/>
  <c r="F14" i="4"/>
  <c r="F15" i="4"/>
  <c r="F11" i="4"/>
  <c r="F12" i="4"/>
  <c r="F8" i="4"/>
  <c r="F9" i="4"/>
  <c r="F5" i="4"/>
  <c r="F6" i="4"/>
  <c r="F2" i="4"/>
  <c r="F3" i="4"/>
  <c r="F155" i="3"/>
  <c r="F156" i="3"/>
  <c r="F152" i="3"/>
  <c r="F153" i="3"/>
  <c r="F149" i="3"/>
  <c r="F150" i="3"/>
  <c r="F146" i="3"/>
  <c r="F147" i="3"/>
  <c r="F143" i="3"/>
  <c r="F144" i="3"/>
  <c r="F140" i="3"/>
  <c r="F141" i="3"/>
  <c r="F137" i="3"/>
  <c r="F138" i="3"/>
  <c r="F134" i="3"/>
  <c r="F135" i="3"/>
  <c r="F131" i="3"/>
  <c r="F132" i="3"/>
  <c r="F128" i="3"/>
  <c r="F129" i="3"/>
  <c r="F125" i="3"/>
  <c r="F126" i="3"/>
  <c r="F122" i="3"/>
  <c r="F123" i="3"/>
  <c r="F119" i="3"/>
  <c r="F120" i="3"/>
  <c r="F116" i="3"/>
  <c r="F117" i="3"/>
  <c r="F113" i="3"/>
  <c r="F114" i="3"/>
  <c r="F110" i="3"/>
  <c r="F111" i="3"/>
  <c r="F107" i="3"/>
  <c r="F108" i="3"/>
  <c r="F104" i="3"/>
  <c r="F105" i="3"/>
  <c r="F101" i="3"/>
  <c r="F102" i="3"/>
  <c r="F98" i="3"/>
  <c r="F99" i="3"/>
  <c r="F95" i="3"/>
  <c r="F96" i="3"/>
  <c r="F94" i="3"/>
  <c r="F92" i="3"/>
  <c r="F93" i="3"/>
  <c r="F89" i="3"/>
  <c r="F90" i="3"/>
  <c r="F86" i="3"/>
  <c r="F87" i="3"/>
  <c r="F83" i="3"/>
  <c r="F84" i="3"/>
  <c r="F78" i="3"/>
  <c r="F79" i="3"/>
  <c r="F75" i="3"/>
  <c r="F76" i="3"/>
  <c r="F69" i="3"/>
  <c r="F70" i="3"/>
  <c r="F63" i="3"/>
  <c r="F64" i="3"/>
  <c r="F60" i="3"/>
  <c r="F61" i="3"/>
  <c r="F52" i="3"/>
  <c r="F53" i="3"/>
  <c r="F46" i="3"/>
  <c r="F47" i="3"/>
  <c r="F40" i="3"/>
  <c r="F41" i="3"/>
  <c r="F34" i="3"/>
  <c r="F35" i="3"/>
  <c r="F31" i="3"/>
  <c r="F32" i="3"/>
  <c r="F28" i="3"/>
  <c r="F29" i="3"/>
  <c r="F20" i="3"/>
  <c r="F21" i="3"/>
  <c r="F14" i="3"/>
  <c r="F15" i="3"/>
  <c r="F8" i="3"/>
  <c r="F9" i="3"/>
  <c r="F5" i="3"/>
  <c r="F6" i="3"/>
  <c r="F2" i="3"/>
  <c r="F3" i="3"/>
  <c r="F94" i="2"/>
  <c r="F95" i="2"/>
  <c r="F91" i="2"/>
  <c r="F92" i="2"/>
  <c r="F88" i="2"/>
  <c r="F89" i="2"/>
  <c r="F85" i="2"/>
  <c r="F86" i="2"/>
  <c r="F82" i="2"/>
  <c r="F83" i="2"/>
  <c r="F79" i="2"/>
  <c r="F80" i="2"/>
  <c r="F76" i="2"/>
  <c r="F77" i="2"/>
  <c r="F73" i="2"/>
  <c r="F74" i="2"/>
  <c r="F70" i="2"/>
  <c r="F71" i="2"/>
  <c r="F67" i="2"/>
  <c r="F68" i="2"/>
  <c r="F64" i="2"/>
  <c r="F65" i="2"/>
  <c r="F61" i="2"/>
  <c r="F62" i="2"/>
  <c r="F58" i="2"/>
  <c r="F59" i="2"/>
  <c r="F55" i="2"/>
  <c r="F56" i="2"/>
  <c r="F52" i="2"/>
  <c r="F53" i="2"/>
  <c r="F47" i="2"/>
  <c r="F48" i="2"/>
  <c r="F44" i="2"/>
  <c r="F45" i="2"/>
  <c r="F41" i="2"/>
  <c r="F42" i="2"/>
  <c r="F38" i="2"/>
  <c r="F39" i="2"/>
  <c r="F33" i="2"/>
  <c r="F34" i="2"/>
  <c r="F30" i="2"/>
  <c r="F31" i="2"/>
  <c r="F27" i="2"/>
  <c r="F28" i="2"/>
  <c r="F24" i="2"/>
  <c r="F25" i="2"/>
  <c r="F21" i="2"/>
  <c r="F22" i="2"/>
  <c r="F19" i="2"/>
  <c r="F18" i="2"/>
  <c r="F11" i="2"/>
  <c r="F8" i="2"/>
  <c r="F9" i="2"/>
  <c r="F5" i="2"/>
  <c r="F6" i="2"/>
  <c r="F3" i="2"/>
  <c r="F2" i="2"/>
  <c r="F157" i="4"/>
  <c r="F154" i="4"/>
  <c r="F151" i="4"/>
  <c r="F148" i="4"/>
  <c r="F145" i="4"/>
  <c r="F142" i="4"/>
  <c r="F139" i="4"/>
  <c r="F136" i="4"/>
  <c r="F133" i="4"/>
  <c r="F130" i="4"/>
  <c r="F127" i="4"/>
  <c r="F124" i="4"/>
  <c r="F121" i="4"/>
  <c r="F118" i="4"/>
  <c r="F115" i="4"/>
  <c r="F112" i="4"/>
  <c r="F109" i="4"/>
  <c r="F106" i="4"/>
  <c r="F103" i="4"/>
  <c r="F100" i="4"/>
  <c r="F97" i="4"/>
  <c r="F94" i="4"/>
  <c r="F91" i="4"/>
  <c r="F88" i="4"/>
  <c r="F85" i="4"/>
  <c r="F80" i="4"/>
  <c r="F77" i="4"/>
  <c r="F74" i="4"/>
  <c r="F71" i="4"/>
  <c r="F68" i="4"/>
  <c r="F65" i="4"/>
  <c r="F62" i="4"/>
  <c r="F57" i="4"/>
  <c r="F54" i="4"/>
  <c r="F51" i="4"/>
  <c r="F48" i="4"/>
  <c r="F45" i="4"/>
  <c r="F42" i="4"/>
  <c r="F39" i="4"/>
  <c r="F36" i="4"/>
  <c r="F33" i="4"/>
  <c r="F30" i="4"/>
  <c r="F25" i="4"/>
  <c r="F22" i="4"/>
  <c r="F19" i="4"/>
  <c r="F16" i="4"/>
  <c r="F13" i="4"/>
  <c r="F10" i="4"/>
  <c r="F7" i="4"/>
  <c r="F4" i="4"/>
  <c r="F157" i="3"/>
  <c r="F154" i="3"/>
  <c r="F151" i="3"/>
  <c r="F148" i="3"/>
  <c r="F145" i="3"/>
  <c r="F142" i="3"/>
  <c r="F139" i="3"/>
  <c r="F136" i="3"/>
  <c r="F133" i="3"/>
  <c r="F130" i="3"/>
  <c r="F127" i="3"/>
  <c r="F124" i="3"/>
  <c r="F121" i="3"/>
  <c r="F118" i="3"/>
  <c r="F115" i="3"/>
  <c r="F112" i="3"/>
  <c r="F109" i="3"/>
  <c r="F106" i="3"/>
  <c r="F103" i="3"/>
  <c r="F100" i="3"/>
  <c r="F97" i="3"/>
  <c r="F91" i="3"/>
  <c r="F88" i="3"/>
  <c r="F85" i="3"/>
  <c r="F80" i="3"/>
  <c r="F77" i="3"/>
  <c r="F71" i="3"/>
  <c r="F65" i="3"/>
  <c r="F62" i="3"/>
  <c r="F54" i="3"/>
  <c r="F48" i="3"/>
  <c r="F42" i="3"/>
  <c r="F36" i="3"/>
  <c r="F33" i="3"/>
  <c r="F30" i="3"/>
  <c r="F22" i="3"/>
  <c r="F16" i="3"/>
  <c r="F10" i="3"/>
  <c r="F7" i="3"/>
  <c r="F4" i="3"/>
  <c r="F96" i="2"/>
  <c r="F93" i="2"/>
  <c r="F90" i="2"/>
  <c r="F87" i="2"/>
  <c r="F84" i="2"/>
  <c r="F81" i="2"/>
  <c r="F78" i="2"/>
  <c r="F75" i="2"/>
  <c r="F72" i="2"/>
  <c r="F69" i="2"/>
  <c r="F66" i="2"/>
  <c r="F63" i="2"/>
  <c r="F60" i="2"/>
  <c r="F57" i="2"/>
  <c r="F54" i="2"/>
  <c r="F49" i="2"/>
  <c r="F46" i="2"/>
  <c r="F43" i="2"/>
  <c r="F40" i="2"/>
  <c r="F35" i="2"/>
  <c r="F32" i="2"/>
  <c r="F29" i="2"/>
  <c r="F26" i="2"/>
  <c r="F23" i="2"/>
  <c r="F20" i="2"/>
  <c r="F14" i="2"/>
  <c r="F12" i="2"/>
  <c r="F10" i="2"/>
  <c r="F7" i="2"/>
  <c r="F4" i="2"/>
  <c r="I146" i="1"/>
  <c r="G146" i="1"/>
  <c r="I145" i="1"/>
  <c r="G145" i="1"/>
  <c r="I144" i="1"/>
  <c r="G144" i="1"/>
  <c r="I143" i="1"/>
  <c r="G143" i="1"/>
  <c r="I142" i="1"/>
  <c r="G142" i="1"/>
  <c r="I141" i="1"/>
  <c r="G141" i="1"/>
  <c r="I140" i="1"/>
  <c r="G140" i="1"/>
  <c r="I139" i="1"/>
  <c r="G139" i="1"/>
  <c r="I138" i="1"/>
  <c r="G138" i="1"/>
  <c r="I137" i="1"/>
  <c r="G137" i="1"/>
  <c r="I136" i="1"/>
  <c r="G136" i="1"/>
  <c r="I135" i="1"/>
  <c r="G135" i="1"/>
  <c r="I134" i="1"/>
  <c r="G134" i="1"/>
  <c r="I133" i="1"/>
  <c r="G133" i="1"/>
  <c r="I132" i="1"/>
  <c r="G132" i="1"/>
  <c r="I131" i="1"/>
  <c r="G131" i="1"/>
  <c r="I130" i="1"/>
  <c r="G130" i="1"/>
  <c r="I129" i="1"/>
  <c r="G129" i="1"/>
  <c r="I128" i="1"/>
  <c r="G128" i="1"/>
  <c r="I127" i="1"/>
  <c r="G127" i="1"/>
  <c r="I126" i="1"/>
  <c r="G126" i="1"/>
  <c r="I125" i="1"/>
  <c r="G125" i="1"/>
  <c r="I124" i="1"/>
  <c r="G124" i="1"/>
  <c r="I123" i="1"/>
  <c r="G123" i="1"/>
  <c r="I122" i="1"/>
  <c r="G122" i="1"/>
  <c r="I120" i="1"/>
  <c r="G120" i="1"/>
  <c r="I119" i="1"/>
  <c r="G119" i="1"/>
  <c r="I118" i="1"/>
  <c r="G118" i="1"/>
  <c r="I117" i="1"/>
  <c r="G117" i="1"/>
  <c r="I116" i="1"/>
  <c r="G116" i="1"/>
  <c r="I115" i="1"/>
  <c r="G115" i="1"/>
  <c r="I114" i="1"/>
  <c r="G114" i="1"/>
  <c r="I113" i="1"/>
  <c r="G113" i="1"/>
  <c r="I112" i="1"/>
  <c r="G112" i="1"/>
  <c r="I111" i="1"/>
  <c r="G111" i="1"/>
  <c r="I110" i="1"/>
  <c r="G110" i="1"/>
  <c r="I109" i="1"/>
  <c r="G109" i="1"/>
  <c r="I108" i="1"/>
  <c r="G108" i="1"/>
  <c r="I107" i="1"/>
  <c r="G107" i="1"/>
  <c r="I106" i="1"/>
  <c r="G106" i="1"/>
  <c r="I105" i="1"/>
  <c r="G105" i="1"/>
  <c r="I104" i="1"/>
  <c r="G104" i="1"/>
  <c r="I103" i="1"/>
  <c r="G103" i="1"/>
  <c r="I102" i="1"/>
  <c r="G102" i="1"/>
  <c r="I101" i="1"/>
  <c r="G101" i="1"/>
  <c r="I100" i="1"/>
  <c r="G100" i="1"/>
  <c r="I99" i="1"/>
  <c r="G99" i="1"/>
  <c r="I98" i="1"/>
  <c r="G98" i="1"/>
  <c r="I97" i="1"/>
  <c r="G97" i="1"/>
  <c r="I96" i="1"/>
  <c r="G96" i="1"/>
  <c r="I93" i="1"/>
  <c r="G93" i="1"/>
  <c r="I92" i="1"/>
  <c r="G92" i="1"/>
  <c r="I91" i="1"/>
  <c r="G91" i="1"/>
  <c r="I90" i="1"/>
  <c r="G90" i="1"/>
  <c r="I89" i="1"/>
  <c r="G89" i="1"/>
  <c r="I88" i="1"/>
  <c r="G88" i="1"/>
  <c r="I87" i="1"/>
  <c r="G87" i="1"/>
  <c r="I86" i="1"/>
  <c r="G86" i="1"/>
  <c r="I85" i="1"/>
  <c r="G85" i="1"/>
  <c r="I84" i="1"/>
  <c r="G84" i="1"/>
  <c r="I83" i="1"/>
  <c r="G83" i="1"/>
  <c r="I82" i="1"/>
  <c r="G82" i="1"/>
  <c r="I81" i="1"/>
  <c r="G81" i="1"/>
  <c r="I80" i="1"/>
  <c r="G80" i="1"/>
  <c r="I79" i="1"/>
  <c r="G79" i="1"/>
  <c r="I76" i="1"/>
  <c r="G76" i="1"/>
  <c r="I75" i="1"/>
  <c r="G75" i="1"/>
  <c r="I74" i="1"/>
  <c r="G74" i="1"/>
  <c r="I73" i="1"/>
  <c r="G73" i="1"/>
  <c r="I72" i="1"/>
  <c r="G72" i="1"/>
  <c r="I71" i="1"/>
  <c r="G71" i="1"/>
  <c r="I70" i="1"/>
  <c r="G70" i="1"/>
  <c r="I68" i="1"/>
  <c r="G68" i="1"/>
  <c r="I67" i="1"/>
  <c r="G67" i="1"/>
  <c r="I65" i="1"/>
  <c r="G65" i="1"/>
  <c r="I63" i="1"/>
  <c r="G63" i="1"/>
  <c r="I62" i="1"/>
  <c r="G62" i="1"/>
  <c r="I60" i="1"/>
  <c r="G60" i="1"/>
  <c r="I59" i="1"/>
  <c r="G59" i="1"/>
  <c r="I58" i="1"/>
  <c r="G58" i="1"/>
  <c r="I57" i="1"/>
  <c r="G57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3" i="1"/>
  <c r="I42" i="1"/>
  <c r="G42" i="1"/>
  <c r="I40" i="1"/>
  <c r="G40" i="1"/>
  <c r="I38" i="1"/>
  <c r="G38" i="1"/>
  <c r="I36" i="1"/>
  <c r="G36" i="1"/>
  <c r="I35" i="1"/>
  <c r="G35" i="1"/>
  <c r="I34" i="1"/>
  <c r="G34" i="1"/>
  <c r="I32" i="1"/>
  <c r="G32" i="1"/>
  <c r="I31" i="1"/>
  <c r="G31" i="1"/>
  <c r="I30" i="1"/>
  <c r="G30" i="1"/>
  <c r="I29" i="1"/>
  <c r="G29" i="1"/>
  <c r="I28" i="1"/>
  <c r="G28" i="1"/>
  <c r="I27" i="1"/>
  <c r="G27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5" i="1"/>
  <c r="G14" i="1"/>
  <c r="I13" i="1"/>
  <c r="I12" i="1"/>
  <c r="G12" i="1"/>
  <c r="I10" i="1"/>
  <c r="G10" i="1"/>
  <c r="I9" i="1"/>
  <c r="G9" i="1"/>
  <c r="I8" i="1"/>
  <c r="G8" i="1"/>
  <c r="I6" i="1"/>
  <c r="G6" i="1"/>
  <c r="I5" i="1"/>
  <c r="G5" i="1"/>
  <c r="I4" i="1"/>
  <c r="G4" i="1"/>
  <c r="I3" i="1"/>
  <c r="G3" i="1"/>
  <c r="I2" i="1"/>
  <c r="G2" i="1"/>
</calcChain>
</file>

<file path=xl/sharedStrings.xml><?xml version="1.0" encoding="utf-8"?>
<sst xmlns="http://schemas.openxmlformats.org/spreadsheetml/2006/main" count="5774" uniqueCount="1040">
  <si>
    <t>Task</t>
  </si>
  <si>
    <t>Shortcut</t>
  </si>
  <si>
    <t>Model</t>
  </si>
  <si>
    <t>Date</t>
  </si>
  <si>
    <t>System</t>
  </si>
  <si>
    <t>Hardware</t>
  </si>
  <si>
    <t>Path to Code</t>
  </si>
  <si>
    <t>Dataset</t>
  </si>
  <si>
    <t>Path to Output</t>
  </si>
  <si>
    <t>Run-Time in Seconds</t>
  </si>
  <si>
    <t>Energy Total in kWh</t>
  </si>
  <si>
    <t>Energy CPU in kWh</t>
  </si>
  <si>
    <t>CPU Power in W</t>
  </si>
  <si>
    <t>Energy GPU in kWh</t>
  </si>
  <si>
    <t>GPU Power in W</t>
  </si>
  <si>
    <t>Energy RAM in kWh</t>
  </si>
  <si>
    <t>RAM Power in W</t>
  </si>
  <si>
    <t>Log</t>
  </si>
  <si>
    <t>CodeCarbon Full Log</t>
  </si>
  <si>
    <t>Natural Language Generation</t>
  </si>
  <si>
    <t>NLG/S1</t>
  </si>
  <si>
    <t>Markov</t>
  </si>
  <si>
    <t>S1</t>
  </si>
  <si>
    <t>CPU</t>
  </si>
  <si>
    <t>Custom-Wiki</t>
  </si>
  <si>
    <t>n/a</t>
  </si>
  <si>
    <t>Processing took: 4984.2015293429995
[codecarbon INFO @ 10:42:55] Energy consumed for RAM : 0.008028 kWh. RAM Power : 5.804434776306153 W
[codecarbon INFO @ 10:42:55] Energy consumed for all CPUs : 0.019378 kWh. All CPUs Power : 14.0 W
[codecarbon INFO @ 10:42:55] 0.027406 kWh of electricity used since the beginning.</t>
  </si>
  <si>
    <t>2025-09-15T10:42:55,generate-markov,ef9e8bed-74a4-4165-b29d-b28d0f68aadd,4983.960540294647,0.0082491336491373,0.0016551362279946,14.0,0.0,5.804434776306153,0.019377945995993,0.0,0.0080278136356926,0.0274057596316856,Germany,DEU,bavaria,,,Linux-5.15.133.1-microsoft-standard-WSL2-x86_64-with-debian-12.1,3.7.17,8,11th Gen Intel(R) Core(TM) i7-1185G7 @ 3.00GHz,,,10.8922,49.8917,15.478492736816406,machine,N</t>
  </si>
  <si>
    <t>Markov-OneWord</t>
  </si>
  <si>
    <t>Processing took: 2263.8543004580006
[codecarbon INFO @ 11:25:31] Energy consumed for RAM : 0.003645 kWh. RAM Power : 5.804434776306153 W
[codecarbon INFO @ 11:25:31] Energy consumed for all CPUs : 0.008801 kWh. All CPUs Power : 14.0 W
[codecarbon INFO @ 11:25:31] 0.012447 kWh of electricity used since the beginning.</t>
  </si>
  <si>
    <t>2025-09-15T11:25:31,generate-markov-oneword,f0ef5639-4826-41dc-9813-c74ad7f9c6b1,2263.7231843471527,0.003746465248284,0.0016550014923156,14.0,0.0,5.804434776306153,0.0088014550087187,0.0,0.0036452733908961,0.0124467283996148,Germany,DEU,bavaria,,,Linux-5.15.133.1-microsoft-standard-WSL2-x86_64-with-debian-12.1,3.7.17,8,11th Gen Intel(R) Core(TM) i7-1185G7 @ 3.00GHz,,,10.8922,49.8917,15.478492736816406,machine,N</t>
  </si>
  <si>
    <t>LSTM</t>
  </si>
  <si>
    <t>Processing took: 157303.75823426
[codecarbon INFO @ 10:57:50] Energy consumed for RAM : 0.436928 kWh. RAM Power : 10.0 W
[codecarbon INFO @ 10:57:50] Delta energy consumed for CPU with constant : 0.000016 kWh, power : 14.0 W
[codecarbon INFO @ 10:57:50] Energy consumed for All CPU : 0.611722 kWh
[codecarbon INFO @ 10:57:50] 1.048649 kWh of electricity used since the beginning.</t>
  </si>
  <si>
    <t>2025-09-22T10:57:50,generate-LSTM,fead0392-97d3-4a1b-afb4-7c1ceb1a5a67,5b0fa12a-3dd7-45bb-9766-cc326314d9f1,157303.781877873,0.39948302594098345,2.539564028099037e-06,14.0,0.0,10.0,0.6117218702813088,0.0,0.4369276268731292,1.0486494971544387,Germany,DEU,bavaria,,,Linux-6.6.87.2-microsoft-standard-WSL2-x86_64-with-glibc2.35,3.10.12,3.0.4,8,11th Gen Intel(R) Core(TM) i7-1185G7 @ 3.00GHz,,,10.8922,49.8917,15.47481918334961,machine,N,1.0</t>
  </si>
  <si>
    <t>GPT-2</t>
  </si>
  <si>
    <t>Processing took: 15827.89775105
[codecarbon INFO @ 16:14:42] Energy consumed for RAM : 0.025516 kWh. RAM Power : 5.804434776306153 W
[codecarbon INFO @ 16:14:42] Energy consumed for all CPUs : 0.061548 kWh. All CPUs Power : 14.0 W
[codecarbon INFO @ 16:14:42] 0.087064 kWh of electricity used since the beginning.</t>
  </si>
  <si>
    <t>2025-09-15T16:14:42,generate-GPT2,793eba7c-6dbb-4350-a6d0-ee55fc063cca,15827.054688930511,0.0262062985437405,0.0016557912421993,14.0,0.0,5.804434776306153,0.0615477961794534,0,0.0255163185838039,0.0870641147632576,Germany,DEU,bavaria,,,Linux-5.15.133.1-microsoft-standard-WSL2-x86_64-with-debian-12.1,3.7.17,8,11th Gen Intel(R) Core(TM) i7-1185G7 @ 3.00GHz,,,10.8922,49.8917,15.478492736816406,machine,N</t>
  </si>
  <si>
    <t>GPT-2-Finetuned</t>
  </si>
  <si>
    <t>Processing took: 17448.705827144
[codecarbon INFO @ 11:04:48] Energy consumed for RAM : 0.028130 kWh. RAM Power : 5.804434776306153 W
[codecarbon INFO @ 11:04:48] Energy consumed for all CPUs : 0.067851 kWh. All CPUs Power : 14.0 W
[codecarbon INFO @ 11:04:48] 0.095981 kWh of electricity used since the beginning.</t>
  </si>
  <si>
    <t>2025-09-17T11:04:48,generate-gpt2-finetuned,1b38189d-e2c4-499b-bf5d-1ab438d77b16,17447.871376991272,0.0288901608530322,0.0016557985916339,14.0,0.0,5.804434776306153,0.0678509475625885,0,0.02812965327805,0.0959806008406387,Germany,DEU,bavaria,,,Linux-5.15.133.1-microsoft-standard-WSL2-x86_64-with-debian-12.1,3.7.17,8,11th Gen Intel(R) Core(TM) i7-1185G7 @ 3.00GHz,,,10.8922,49.8917,15.478492736816406,machine,N</t>
  </si>
  <si>
    <t>NLG/S2</t>
  </si>
  <si>
    <t>S2</t>
  </si>
  <si>
    <t>Processing took: 4567.260902404
[codecarbon INFO @ 07:48:24] Energy consumed for RAM : 0.014856 kWh. RAM Power : 11.72168254852295 W
[codecarbon INFO @ 07:48:24] Energy consumed for all CPUs : 0.041224 kWh. All CPUs Power : 32.5 W
[codecarbon INFO @ 07:48:24] 0.056079 kWh of electricity used since the beginning.</t>
  </si>
  <si>
    <t>2025-09-23T07:48:24,generate-markov,24a953ee-42fe-4791-8e23-79498a4b678d,4567.0549511909485,0.0168798788172055,0.003696009572384,32.5,0.0,11.72168254852295,0.0412235191845231,0.0,0.0148558124340997,0.0560793316186229,Germany,DEU,bavaria,,,Linux-5.15.167.4-microsoft-standard-WSL2-x86_64-with-debian-12.1,3.7.17,8,Intel(R) Core(TM) i7-9700 CPU @ 3.00GHz,,,10.8334,49.9129,31.25782012939453,machine,N</t>
  </si>
  <si>
    <t>Processing took: 1977.0896353990001
[codecarbon INFO @ 08:24:53] Energy consumed for RAM : 0.006430 kWh. RAM Power : 11.72168254852295 W
[codecarbon INFO @ 08:24:53] Energy consumed for all CPUs : 0.017844 kWh. All CPUs Power : 32.5 W
[codecarbon INFO @ 08:24:53] 0.024274 kWh of electricity used since the beginning.</t>
  </si>
  <si>
    <t>2025-09-23T08:24:53,generate-markov-oneword,96182814-c778-4058-b9b5-1679311c2f7c,1976.967923879624,0.0073063741089156,0.0036957474224354,32.5,0.0,11.72168254852295,0.0178437556943959,0.0,0.0064299124415362,0.0242736681359322,Germany,DEU,bavaria,,,Linux-5.15.167.4-microsoft-standard-WSL2-x86_64-with-debian-12.1,3.7.17,8,Intel(R) Core(TM) i7-9700 CPU @ 3.00GHz,,,10.8334,49.9129,31.25782012939453,machine,N</t>
  </si>
  <si>
    <t>Processing took: 237867.69753862201
[codecarbon INFO @ 02:46:38] Energy consumed for RAM : 1.321407 kWh. RAM Power : 20.0 W
[codecarbon INFO @ 02:46:38] Delta energy consumed for CPU with constant : 0.000025 kWh, power : 32.5 W
[codecarbon INFO @ 02:46:38] Energy consumed for All CPU : 2.147359 kWh
[codecarbon INFO @ 02:46:38] 3.468766 kWh of electricity used since the beginning.</t>
  </si>
  <si>
    <t>2025-11-12T02:46:38,generate-LSTM,199a0602-01c5-45cd-9cdd-a92e32f2ccc4,5b0fa12a-3dd7-45bb-9766-cc326314d9f1,237867.72086576998,1.321426401169336,5.555299375466854e-06,32.5,0.0,20.0,2.147358745699449,0.0,1.3214072371574486,3.4687659828568997,0.0,Germany,DEU,bavaria,,,Linux-5.15.167.4-microsoft-standard-WSL2-x86_64-with-glibc2.35,3.10.12,3.0.8,8,Intel(R) Core(TM) i7-9700 CPU @ 3.00GHz,,,10.9678,49.8472,31.25782012939453,machine,N,1.0,0.0</t>
  </si>
  <si>
    <t>GPU</t>
  </si>
  <si>
    <t>Processing took: 16105.576718985
[codecarbon INFO @ 13:07:46] Energy consumed for RAM : 0.052435 kWh. RAM Power : 11.72168254852295 W
[codecarbon INFO @ 13:07:46] Energy consumed for all CPUs : 0.145389 kWh. All CPUs Power : 32.5 W
[codecarbon INFO @ 13:07:46] 0.197824 kWh of electricity used since the beginning.</t>
  </si>
  <si>
    <t>2025-09-23T13:07:46,generate-GPT2,f8fae6ac-f719-404a-b9f6-ffa149fc04f3,16104.860660791395,0.0595451492360761,0.0036973402310175,32.5,0.0,11.72168254852295,0.1453891131955719,0.0,0.0524353028711264,0.1978244160666983,Germany,DEU,bavaria,,,Linux-5.15.167.4-microsoft-standard-WSL2-x86_64-with-debian-12.1,3.7.17,8,Intel(R) Core(TM) i7-9700 CPU @ 3.00GHz,,,10.8334,49.9129,31.25782012939453,machine,N</t>
  </si>
  <si>
    <t>Processing took: 20598.329889625005
[codecarbon INFO @ 18:16:40] Energy consumed for RAM : 0.067062 kWh. RAM Power : 11.72168254852295 W
[codecarbon INFO @ 18:16:40] Energy consumed for all CPUs : 0.185946 kWh. All CPUs Power : 32.5 W
[codecarbon INFO @ 18:16:40] 0.253009 kWh of electricity used since the beginning.</t>
  </si>
  <si>
    <t>2025-11-13T18:16:40,generate-gpt2-finetuned,7c03f303-b267-4c4d-b788-f06eb908a55a,20597.471739768982,0.07615567169614516,0.0036973310442322913,32.5,0.0,11.72168254852295,0.1859464907964071,0.0,0.06706238527052039,0.25300887606692746,Germany,DEU,bavaria,,,Linux-5.15.167.4-microsoft-standard-WSL2-x86_64-with-debian-12.1,3.7.17,8,Intel(R) Core(TM) i7-9700 CPU @ 3.00GHz,,,10.9842,49.8155,31.25782012939453,machine,N</t>
  </si>
  <si>
    <t>NLG/S3</t>
  </si>
  <si>
    <t>S3</t>
  </si>
  <si>
    <t>Processing took: 3355.049687028997
[codecarbon INFO @ 15:56:40] Energy consumed for RAM : 0.010767 kWh. RAM Power : 11.589908123016357 W
[codecarbon INFO @ 15:56:40] Energy consumed for all CPUs : 0.039583 kWh. All CPUs Power : 42.5 W
[codecarbon INFO @ 15:56:40] 0.050350 kWh of electricity used since the beginning.</t>
  </si>
  <si>
    <t>2025-09-17T15:56:40,generate-markov,fcde8ced-692a-4a49-8155-36a9a6261b2e,3354.8906321525574,0.0151553737466432,0.0045173972592123,42.5,0.0,11.589908123016356,0.0395832343944245,0.0,0.0107668444980779,0.0503500788925025,Germany,DEU,bavaria,,,Linux-6.6.87.2-microsoft-standard-WSL2-x86_64-with-debian-12.1,3.7.17,16,AMD Ryzen 7 7700 8-Core Processor,,,10.8922,49.8917,30.906421661376957,machine,N</t>
  </si>
  <si>
    <t>Processing took: 1471.7992790299977
[codecarbon INFO @ 16:33:37] Energy consumed for RAM : 0.004726 kWh. RAM Power : 11.589908123016357 W
[codecarbon INFO @ 16:33:37] Energy consumed for all CPUs : 0.017362 kWh. All CPUs Power : 42.5 W
[codecarbon INFO @ 16:33:37] 0.022087 kWh of electricity used since the beginning.</t>
  </si>
  <si>
    <t>2025-09-17T16:33:37,generate-markov-oneword,a904f9ce-f495-487d-a0ac-2ab95915e758,1471.7533919811249,0.006648294678873237,0.004517261325910027,42.5,0.0,11.589908123016357,0.017361840371787556,0.0,0.004725517365332838,0.02208735773712039,Germany,DEU,bavaria,,,Linux-6.6.87.2-microsoft-standard-WSL2-x86_64-with-debian-12.1,3.7.17,16,AMD Ryzen 7 7700 8-Core Processor,,,10.8922,49.8917,30.906421661376953,machine,N</t>
  </si>
  <si>
    <t>Processing took: 85003.844494348
[codecarbon INFO @ 21:18:10] Energy consumed for RAM : 0.472221 kWh. RAM Power : 20.0 W
[codecarbon INFO @ 21:18:10] Delta energy consumed for CPU with constant : 0.000099 kWh, power : 32.5 W
[codecarbon INFO @ 21:18:10] Energy consumed for All CPU : 0.767381 kWh
[codecarbon INFO @ 21:18:10] 1.239602 kWh of electricity used since the beginning.</t>
  </si>
  <si>
    <t>2025-09-21T21:18:10,generate-LSTM,ada201ce-9066-41a3-b581-bbba233a1b9b,5b0fa12a-3dd7-45bb-9766-cc326314d9f1,85003.85627300301,0.472226465998342,5.555353447515532e-06,32.5,0.0,20.0,0.7673812768170075,0.0,0.47222094394251335,1.2396022207595274,Germany,DEU,bavaria,,,Linux-6.6.87.2-microsoft-standard-WSL2-x86_64-with-glibc2.35,3.10.12,3.0.5,16,AMD Ryzen 7 7700 8-Core Processor,,,10.8922,49.8917,30.90642547607422,machine,N,1.0</t>
  </si>
  <si>
    <t>Processing took: 85590.61884953
[codecarbon INFO @ 07:45:20] Energy consumed for RAM : 0.475417 kWh. RAM Power : 20.0 W
[codecarbon INFO @ 07:45:20] Delta energy consumed for CPU with constant : 0.000113 kWh, power : 32.5 W
[codecarbon INFO @ 07:45:20] Energy consumed for All CPU : 0.772574 kWh
[codecarbon INFO @ 07:45:20] Energy consumed for all GPUs : 0.201470 kWh. Total GPU Power : 7.721342241364692 W
[codecarbon INFO @ 07:45:20] 1.449460 kWh of electricity used since the beginning.</t>
  </si>
  <si>
    <t>2025-09-20T07:45:20,generate-LSTM,bae776f5-e94b-401f-95e0-a88c8207714c,5b0fa12a-3dd7-45bb-9766-cc326314d9f1,85590.63453301499,0.5521717977279919,6.451310949389e-06,32.5,7.721342241364692,20.0,0.7725738204524855,0.20146970173118806,0.4754165059774801,1.4494600281611545,Germany,DEU,bavaria,,,Linux-6.6.87.2-microsoft-standard-WSL2-x86_64-with-glibc2.35,3.10.12,3.0.4,16,AMD Ryzen 7 7700 8-Core Processor,1,1 x NVIDIA GeForce RTX 5070 Ti,10.8922,49.8917,30.90642547607422,machine,N,1.0</t>
  </si>
  <si>
    <t>Processing took: 16068.095407825997
[codecarbon INFO @ 21:31:27] Energy consumed for RAM : 0.051724 kWh. RAM Power : 11.589908123016357 W
[codecarbon INFO @ 21:31:27] Energy consumed for all CPUs : 0.189678 kWh. All CPUs Power : 42.5 W
[codecarbon INFO @ 21:31:27] 0.241402 kWh of electricity used since the beginning.</t>
  </si>
  <si>
    <t>2025-09-17T21:31:27,generate-GPT2,1fe7f9f2-4a13-4394-81e0-7c85979ce716,16067.0174202919,0.0726619078311657,0.0045224266539598,42.5,0.0,11.589908123016356,0.1896776768672795,0.0,0.0517240102794504,0.2414016871467301,Germany,DEU,bavaria,,,Linux-6.6.87.2-microsoft-standard-WSL2-x86_64-with-debian-12.1,3.7.17,16,AMD Ryzen 7 7700 8-Core Processor,,,10.8922,49.8917,30.906421661376957,machine,N</t>
  </si>
  <si>
    <t>Processing took: 3627.257811358999
[codecarbon INFO @ 06:14:45] Energy consumed for RAM : 0.020150 kWh. RAM Power : 20.0 W
[codecarbon INFO @ 06:14:45] Delta energy consumed for CPU with constant : 0.000110 kWh, power : 32.5 W
[codecarbon INFO @ 06:14:45] Energy consumed for All CPU : 0.032744 kWh
[codecarbon INFO @ 06:14:45] Energy consumed for all GPUs : 0.069928 kWh. Total GPU Power : 68.78357465754392 W
[codecarbon INFO @ 06:14:45] 0.122822 kWh of electricity used since the beginning.</t>
  </si>
  <si>
    <t>2025-09-19T06:14:45,generate-GPT2,026ddbc2-731e-403a-a0ed-e74d904890bf,5b0fa12a-3dd7-45bb-9766-cc326314d9f1,3627.271644186003,0.046789023235619405,1.2899233315104896e-05,32.5,68.78357465754392,20.0,0.032744072034429604,0.069928123164676,0.020149758431605404,0.12282195363071112,Germany,DEU,bavaria,,,Linux-6.6.87.2-microsoft-standard-WSL2-x86_64-with-glibc2.35,3.10.12,3.0.4,16,AMD Ryzen 7 7700 8-Core Processor,1,1 x NVIDIA GeForce RTX 5070 Ti,10.8922,49.8917,30.90642547607422,machine,N,1.0</t>
  </si>
  <si>
    <t>Processing took: 15579.433374096989
[codecarbon INFO @ 12:39:40] Energy consumed for RAM : 0.050151 kWh. RAM Power : 11.589909553527832 W
[codecarbon INFO @ 12:39:40] Energy consumed for all CPUs : 0.183909 kWh. All CPUs Power : 42.5 W
[codecarbon INFO @ 12:39:40] 0.234060 kWh of electricity used since the beginning.</t>
  </si>
  <si>
    <t>2025-09-20T12:39:40,generate-gpt2-finetuned,f996a0c9-af02-44fe-9a30-9b7002033685,15578.383415699005,0.07045216946354825,0.0045224313449976185,42.5,0.0,11.589909553527832,0.18390931428720533,0.0,0.05015104937906793,0.23406036366627328,Germany,DEU,bavaria,,,Linux-6.6.87.2-microsoft-standard-WSL2-x86_64-with-debian-12.1,3.7.17,16,AMD Ryzen 7 7700 8-Core Processor,,,10.8922,49.8917,30.90642547607422,machine,N</t>
  </si>
  <si>
    <t>Processing took: 5349.300780212
[codecarbon INFO @ 22:04:54] Energy consumed for RAM : 0.029640 kWh. RAM Power : 20.0 W
[codecarbon INFO @ 22:04:54] Delta energy consumed for CPU with constant : 0.000037 kWh, power : 32.5 W
[codecarbon INFO @ 22:04:54] Energy consumed for All CPU : 0.048205 kWh
[codecarbon INFO @ 22:04:54] Energy consumed for all GPUs : 0.069125 kWh. Total GPU Power : 60.91980749641981 W
[codecarbon INFO @ 22:04:54] 0.146971 kWh of electricity used since the beginning.</t>
  </si>
  <si>
    <t>2025-09-18T22:04:54,generate-gpt2-finetuned,b3a9d4dd-0a71-4fd9-861b-eef1fa23c07b,5b0fa12a-3dd7-45bb-9766-cc326314d9f1,5349.315052317999,0.055988576749059285,1.0466494532752928e-05,32.5,60.91980749641981,20.0,0.04820544439788818,0.06912524085570398,0.029640247281016715,0.14697093253460897,Germany,DEU,bavaria,,,Linux-6.6.87.2-microsoft-standard-WSL2-x86_64-with-glibc2.35,3.10.12,3.0.4,16,AMD Ryzen 7 7700 8-Core Processor,1,1 x NVIDIA GeForce RTX 5070 Ti,10.8922,49.8917,30.90642547607422,machine,N,1.0</t>
  </si>
  <si>
    <t>Text Summarization: German Domain Corpora</t>
  </si>
  <si>
    <t>TS1/S1</t>
  </si>
  <si>
    <t>LexRank</t>
  </si>
  <si>
    <t>legalsum</t>
  </si>
  <si>
    <t>Processing took: 564.1377087740002
[codecarbon INFO @ 07:27:59] Energy consumed for RAM : 0.001566 kWh. RAM Power : 10.0 W
[codecarbon INFO @ 07:27:59] Energy consumed for All CPU : 0.002193 kWh
[codecarbon INFO @ 07:27:59] 0.003759 kWh of electricity used since the beginning.</t>
  </si>
  <si>
    <t>2025-09-25T07:27:59,,3dcd29a5-c2a1-472a-abf9-1d0c35c2b066,5b0fa12a-3dd7-45bb-9766-cc326314d9f1,564.1395746559997,0.001431981693312235,2.538346461840453e-06,14.0,0.0,10.0,0.0021931687897855496,0.0,0.001565806648755559,0.003758975438541108,Germany,DEU,bavaria,,,Linux-6.6.87.2-microsoft-standard-WSL2-x86_64-with-glibc2.41,3.9.23,3.0.5,8,11th Gen Intel(R) Core(TM) i7-1185G7 @ 3.00GHz,,,10.8334,49.9129,15.47481918334961,machine,N,1.0</t>
  </si>
  <si>
    <t>TextRank</t>
  </si>
  <si>
    <t>Processing took: 484.0455937980005
[codecarbon INFO @ 07:50:09] Energy consumed for RAM : 0.001343 kWh. RAM Power : 10.0 W
[codecarbon INFO @ 07:50:09] Energy consumed for All CPU : 0.001882 kWh
[codecarbon INFO @ 07:50:09] 0.003225 kWh of electricity used since the beginning.</t>
  </si>
  <si>
    <t>2025-09-25T07:50:09,,5cc9c146-a196-4d5e-91c8-8c28e78fa496,5b0fa12a-3dd7-45bb-9766-cc326314d9f1,484.04845355399993,0.001228726336637577,2.53843665363658e-06,14.0,0.0,10.0,0.0018819457646383248,0.0,0.0013434810279527687,0.0032254267925910934,Germany,DEU,bavaria,,,Linux-6.6.87.2-microsoft-standard-WSL2-x86_64-with-glibc2.41,3.9.23,3.0.5,8,11th Gen Intel(R) Core(TM) i7-1185G7 @ 3.00GHz,,,10.8334,49.9129,15.47481918334961,machine,N,1.0</t>
  </si>
  <si>
    <t>T5</t>
  </si>
  <si>
    <t>Processing took: 7079.722089615
[codecarbon INFO @ 15:48:59] Energy consumed for RAM : 0.0196659951081694 kWh. RAM Power : 10.0 W
[codecarbon INFO @ 15:48:59] Energy consumed for All CPU : 0.0275330686484894 kWh
[codecarbon INFO @ 15:48:59] 0.0471990637566588 kWh of electricity used since the beginning.</t>
  </si>
  <si>
    <t>2025-09-24T10:59:20,,c8bfa83c-b7e6-43ce-b3ba-9145278a4dfe,5b0fa12a-3dd7-45bb-9766-cc326314d9f1,7079.959161487,0.0179804833380991,2.5396309396681264e-06,14.0,0.0,10.0,0.0275330686484894,0.0,0.0196659951081694,0.0471990637566588,Germany,DEU,bavaria,,,Linux-6.6.87.2-microsoft-standard-WSL2-x86_64-with-glibc2.41,3.9.23,3.0.5,8,11th Gen Intel(R) Core(TM) i7-1185G7 @ 3.00GHz,,,10.8922,49.8917,15.47481918334961,machine,N,1.0</t>
  </si>
  <si>
    <t>Pegasus</t>
  </si>
  <si>
    <t>Processing took: 14929.561005467
[codecarbon INFO @ 15:48:59] Energy consumed for RAM : 0.041465 kWh. RAM Power : 10.0 W
[codecarbon INFO @ 15:48:59] Energy consumed for All CPU : 0.058057 kWh
[codecarbon INFO @ 15:48:59] 0.099522 kWh of electricity used since the beginning.</t>
  </si>
  <si>
    <t>2025-09-24T15:48:59,,10a36a6b-4896-4bf4-a998-1f77c66a9e84,5b0fa12a-3dd7-45bb-9766-cc326314d9f1,14929.718334619001,0.03791278479845155,2.5394172849557024e-06,14.0,0.0,10.0,0.058056785667109465,0.0,0.041464896439338934,0.09952168210644849,Germany,DEU,bavaria,,,Linux-6.6.87.2-microsoft-standard-WSL2-x86_64-with-glibc2.41,3.9.23,3.0.5,8,11th Gen Intel(R) Core(TM) i7-1185G7 @ 3.00GHz,,,10.8922,49.8917,15.47481918334961,machine,N,1.0</t>
  </si>
  <si>
    <t>MT5</t>
  </si>
  <si>
    <t>Processing took: 7131.124457517002
[codecarbon INFO @ 18:00:34] Energy consumed for RAM : 0.019803 kWh. RAM Power : 10.0 W
[codecarbon INFO @ 18:00:34] Energy consumed for All CPU : 0.027730 kWh
[codecarbon INFO @ 18:00:34] 0.047533 kWh of electricity used since the beginning.</t>
  </si>
  <si>
    <t>2025-09-24T18:00:34,,cd412bf1-f3a6-49fa-a22d-69a402f318e2,5b0fa12a-3dd7-45bb-9766-cc326314d9f1,7131.273827424004,0.01810780774207699,2.539210831091868e-06,14.0,0.0,10.0,0.027729926662973973,0.0,0.019803365743055596,0.04753329240602963,Germany,DEU,bavaria,,,Linux-6.6.87.2-microsoft-standard-WSL2-x86_64-with-glibc2.41,3.9.23,3.0.5,8,11th Gen Intel(R) Core(TM) i7-1185G7 @ 3.00GHz,,,10.8922,49.8917,15.47481918334961,machine,N,1.0</t>
  </si>
  <si>
    <t>Bert2Bert</t>
  </si>
  <si>
    <t>Processing took: 6648.176506345
[codecarbon INFO @ 20:00:27] Energy consumed for RAM : 0.018467 kWh. RAM Power : 10.0 W
[codecarbon INFO @ 20:00:27] Energy consumed for All CPU : 0.025854 kWh
[codecarbon INFO @ 20:00:27] 0.044321 kWh of electricity used since the beginning.</t>
  </si>
  <si>
    <t>2025-09-24T20:00:27,,569f2ecf-b1bd-4eb2-abd1-9ad305c3a397,5b0fa12a-3dd7-45bb-9766-cc326314d9f1,6648.336794929004,0.016883983450805495,2.539580044092185e-06,14.0,0.0,10.0,0.025854121053471502,0.0,0.01846661250947768,0.04432073356294919,Germany,DEU,bavaria,,,Linux-6.6.87.2-microsoft-standard-WSL2-x86_64-with-glibc2.41,3.9.23,3.0.5,8,11th Gen Intel(R) Core(TM) i7-1185G7 @ 3.00GHz,,,10.8922,49.8917,15.47481918334961,machine,N,1.0</t>
  </si>
  <si>
    <t>TS1/S2</t>
  </si>
  <si>
    <t>Processing took: 326.54838716499944
[codecarbon INFO @ 11:02:44] Energy consumed for RAM : 0.001813 kWh. RAM Power : 20.0 W
[codecarbon INFO @ 11:02:44] Delta energy consumed for CPU with constant : 0.000103 kWh, power : 32.5 W
[codecarbon INFO @ 11:02:44] Energy consumed for All CPU : 0.002947 kWh
[codecarbon INFO @ 11:02:44] 0.004760 kWh of electricity used since the beginning.</t>
  </si>
  <si>
    <t>2025-11-07T11:02:44,,56da91ac-6705-4a58-9b49-fd6c27cfda84,5b0fa12a-3dd7-45bb-9766-cc326314d9f1,326.55084708399954,0.0018132407428802665,5.552705678371251e-06,32.5,0.0,20.0,0.002947038068722123,0.0,0.001812748630005444,0.0047597866987275665,0.0,Germany,DEU,bavaria,,,Linux-5.15.167.4-microsoft-standard-WSL2-x86_64-with-glibc2.41,3.9.25,3.0.8,8,Intel(R) Core(TM) i7-9700 CPU @ 3.00GHz,,,10.9678,49.8472,31.257816314697266,machine,N,1.0,0.0</t>
  </si>
  <si>
    <t>Processing took: 331.0212515759995
[codecarbon INFO @ 11:09:28] Energy consumed for RAM : 0.001838 kWh. RAM Power : 20.0 W
[codecarbon INFO @ 11:09:28] Delta energy consumed for CPU with constant : 0.000008 kWh, power : 32.5 W
[codecarbon INFO @ 11:09:28] Energy consumed for All CPU : 0.002988 kWh
[codecarbon INFO @ 11:09:28] 0.004826 kWh of electricity used since the beginning.</t>
  </si>
  <si>
    <t>2025-11-07T11:09:28,,cef9ee6a-59e0-4d71-865d-36bc9bdbdb7a,5b0fa12a-3dd7-45bb-9766-cc326314d9f1,331.02302736099955,0.0018385546201405796,5.554159282506744e-06,32.5,0.0,20.0,0.002987953462938726,0.0,0.0018382825789055562,0.004826236041844283,0.0,Germany,DEU,bavaria,,,Linux-5.15.167.4-microsoft-standard-WSL2-x86_64-with-glibc2.41,3.9.25,3.0.8,8,Intel(R) Core(TM) i7-9700 CPU @ 3.00GHz,,,10.9678,49.8472,31.257816314697266,machine,N,1.0,0.0</t>
  </si>
  <si>
    <t>Processing took: 5982.816416563999
[codecarbon INFO @ 21:04:31] Energy consumed for RAM : 0.033237 kWh. RAM Power : 20.0 W
[codecarbon INFO @ 21:04:31] Delta energy consumed for CPU with constant : 0.000080 kWh, power : 32.5 W
[codecarbon INFO @ 21:04:31] Energy consumed for All CPU : 0.054012 kWh
[codecarbon INFO @ 21:04:31] 0.087249 kWh of electricity used since the beginning.</t>
  </si>
  <si>
    <t>2025-11-06T21:04:31,,b01c1275-f553-460d-9178-e1e93892deb9,5b0fa12a-3dd7-45bb-9766-cc326314d9f1,5982.959179977,0.03323761163080163,5.555379976857775e-06,32.5,0.0,20.0,0.05401199867986185,0.0,0.0332372771589666,0.08724927583882827,0.0,Germany,DEU,bavaria,,,Linux-5.15.167.4-microsoft-standard-WSL2-x86_64-with-glibc2.41,3.9.25,3.0.8,8,Intel(R) Core(TM) i7-9700 CPU @ 3.00GHz,,,10.9678,49.8472,31.257816314697266,machine,N,1.0,0.0</t>
  </si>
  <si>
    <t>Processing took: 10913.523000451
[codecarbon INFO @ 01:08:13] Energy consumed for RAM : 0.060622 kWh. RAM Power : 20.0 W
[codecarbon INFO @ 01:08:13] Delta energy consumed for CPU with constant : 0.000010 kWh, power : 32.5 W
[codecarbon INFO @ 01:08:13] Energy consumed for All CPU : 0.098521 kWh
[codecarbon INFO @ 01:08:13] 0.159143 kWh of electricity used since the beginning.</t>
  </si>
  <si>
    <t>2025-11-07T01:08:13,,39e93ed1-9c58-419a-809f-9e59d8223a23,5b0fa12a-3dd7-45bb-9766-cc326314d9f1,10913.667079194,0.06062569930827127,5.555025535262032e-06,32.5,0.0,20.0,0.09852132016934119,0.0,0.060622135161466785,0.1591434553308079,0.0,Germany,DEU,bavaria,,,Linux-5.15.167.4-microsoft-standard-WSL2-x86_64-with-glibc2.41,3.9.25,3.0.8,8,Intel(R) Core(TM) i7-9700 CPU @ 3.00GHz,,,10.9678,49.8472,31.257816314697266,machine,N,1.0,0.0</t>
  </si>
  <si>
    <t>Processing took: 5920.454186010997
[codecarbon INFO @ 09:09:16] Energy consumed for RAM : 0.032869 kWh. RAM Power : 20.0 W
[codecarbon INFO @ 09:09:16] Delta energy consumed for CPU with constant : 0.000133 kWh, power : 32.5 W
[codecarbon INFO @ 09:09:16] Energy consumed for All CPU : 0.053440 kWh
[codecarbon INFO @ 09:09:16] 0.086309 kWh of electricity used since the beginning.</t>
  </si>
  <si>
    <t>2025-11-07T09:09:16,,3dea0f57-7df4-4edf-9f05-f5013565375d,5b0fa12a-3dd7-45bb-9766-cc326314d9f1,5920.597995085998,0.032879360771949875,5.553385114010311e-06,32.5,0.0,20.0,0.05344007729821966,0.0,0.03286878415853292,0.08630886145675253,0.0,Germany,DEU,bavaria,,,Linux-5.15.167.4-microsoft-standard-WSL2-x86_64-with-glibc2.41,3.9.25,3.0.8,8,Intel(R) Core(TM) i7-9700 CPU @ 3.00GHz,,,10.9678,49.8472,31.257816314697266,machine,N,1.0,0.0</t>
  </si>
  <si>
    <t>Processing took: 5849.624495705997
[codecarbon INFO @ 10:48:46] Energy consumed for RAM : 0.032497 kWh. RAM Power : 20.0 W
[codecarbon INFO @ 10:48:46] Delta energy consumed for CPU with constant : 0.000112 kWh, power : 32.5 W
[codecarbon INFO @ 10:48:46] Energy consumed for All CPU : 0.052809 kWh
[codecarbon INFO @ 10:48:46] 0.085307 kWh of electricity used since the beginning.</t>
  </si>
  <si>
    <t>2025-11-07T10:48:46,,5f0d9d56-8900-4451-8848-6843bca83b73,5b0fa12a-3dd7-45bb-9766-cc326314d9f1,5849.772036770002,0.03249762675260248,5.555366354164171e-06,32.5,0.0,20.0,0.052809480216846755,0.0,0.03249732317625592,0.08530680339310272,0.0,Germany,DEU,bavaria,,,Linux-5.15.167.4-microsoft-standard-WSL2-x86_64-with-glibc2.41,3.9.25,3.0.8,8,Intel(R) Core(TM) i7-9700 CPU @ 3.00GHz,,,10.9678,49.8472,31.257816314697266,machine,N,1.0,0.0</t>
  </si>
  <si>
    <t>TS1/S3</t>
  </si>
  <si>
    <t>Processing took: 283.3038371120001
[codecarbon INFO @ 15:25:25] Energy consumed for RAM : 0.001570 kWh. RAM Power : 20.0 W
[codecarbon INFO @ 15:25:25] Delta energy consumed for CPU with constant : 0.000118 kWh, power : 32.5 W
[codecarbon INFO @ 15:25:25] Energy consumed for All CPU : 0.002555 kWh
[codecarbon INFO @ 15:25:25] Energy consumed for all GPUs : 0.000611 kWh. Total GPU Power : 7.772351636695028 W
[codecarbon INFO @ 15:25:25] 0.004736 kWh of electricity used since the beginning.</t>
  </si>
  <si>
    <t>2025-10-29T15:25:25,,3bb82a51-ba05-4d85-8264-5c0d70f71f7a,5b0fa12a-3dd7-45bb-9766-cc326314d9f1,283.30682084599994,0.0018041926238873856,6.3683345798021206e-06,32.5,7.772351636695028,20.0,0.0025545618703041763,0.000611171877826,0.0015703014897944483,0.004736035237924624,Germany,DEU,bavaria,,,Linux-6.6.87.2-microsoft-standard-WSL2-x86_64-with-glibc2.41,3.9.23,3.0.5,16,AMD Ryzen 7 7700 8-Core Processor,1.0,1 x NVIDIA GeForce RTX 5070 Ti,10.9678,49.8472,30.906421661376953,machine,N,1.0</t>
  </si>
  <si>
    <t>Processing took: 242.36041512300017
[codecarbon INFO @ 15:20:16] Energy consumed for RAM : 0.001343 kWh. RAM Power : 20.0 W
[codecarbon INFO @ 15:20:16] Delta energy consumed for CPU with constant : 0.000020 kWh, power : 32.5 W
[codecarbon INFO @ 15:20:16] Energy consumed for All CPU : 0.002185 kWh
[codecarbon INFO @ 15:20:16] Energy consumed for all GPUs : 0.000558 kWh. Total GPU Power : 8.256320336269148 W
[codecarbon INFO @ 15:20:16] 0.004085 kWh of electricity used since the beginning.</t>
  </si>
  <si>
    <t>2025-10-29T15:20:16,,6b9e8059-818f-4938-84d1-baf30aac6320,5b0fa12a-3dd7-45bb-9766-cc326314d9f1,242.36508627700005,0.0015562545218292642,6.421116777730166e-06,32.5,8.256320336269148,20.0,0.00218452685476459,0.0005577612795419976,0.0013429055179555588,0.004085193652262145,Germany,DEU,bavaria,,,Linux-6.6.87.2-microsoft-standard-WSL2-x86_64-with-glibc2.41,3.9.23,3.0.5,16,AMD Ryzen 7 7700 8-Core Processor,1.0,1 x NVIDIA GeForce RTX 5070 Ti,10.9678,49.8472,30.906421661376953,machine,N,1.0</t>
  </si>
  <si>
    <t>Processing took: 4284.718199035
[codecarbon INFO @ 13:20:53] Energy consumed for RAM : 0.023803 kWh. RAM Power : 20.0 W
[codecarbon INFO @ 13:20:53] Delta energy consumed for CPU with constant : 0.000087 kWh, power : 32.5 W
[codecarbon INFO @ 13:20:53] Energy consumed for All CPU : 0.038682 kWh
[codecarbon INFO @ 13:20:53] 0.062485 kWh of electricity used since the beginning.</t>
  </si>
  <si>
    <t>2025-11-07T13:20:53,,9c4e362d-38a7-403d-8705-134ab5fb5239,5b0fa12a-3dd7-45bb-9766-cc326314d9f1,4284.834486311003,0.02380367495926107,5.555331258490376e-06,32.5,0.0,20.0,0.03868173547102201,0.0,0.023803301828521382,0.06248503729954343,Germany,DEU,bavaria,,,Linux-6.6.87.2-microsoft-standard-WSL2-x86_64-with-glibc2.41,3.9.23,3.0.5,16,AMD Ryzen 7 7700 8-Core Processor,,,10.9678,49.8472,30.90642547607422,machine,N,1.0</t>
  </si>
  <si>
    <t>Processing took: 2386.3087828129997
[codecarbon INFO @ 15:13:02] Energy consumed for RAM : 0.013256 kWh. RAM Power : 20.0 W
[codecarbon INFO @ 15:13:02] Delta energy consumed for CPU with constant : 0.000012 kWh, power : 32.5 W
[codecarbon INFO @ 15:13:02] Energy consumed for All CPU : 0.021543 kWh
[codecarbon INFO @ 15:13:02] Energy consumed for all GPUs : 0.031408 kWh. Total GPU Power : 61.82271649589511 W
[codecarbon INFO @ 15:13:02] 0.066207 kWh of electricity used since the beginning.</t>
  </si>
  <si>
    <t>2025-10-29T15:13:02,,27408ada-bbb0-46d1-9a66-3f5f1f42fc7d,5b0fa12a-3dd7-45bb-9766-cc326314d9f1,2386.44322647,0.0252216807916277,1.0568732795263435e-05,32.5,61.82271649589511,20.0,0.0215425749118666,0.0314084954045539,0.0132562555573888,0.0662073258738096,Germany,DEU,bavaria,,,Linux-6.6.87.2-microsoft-standard-WSL2-x86_64-with-glibc2.41,3.9.23,3.0.5,16,AMD Ryzen 7 7700 8-Core Processor,1.0,1 x NVIDIA GeForce RTX 5070 Ti,10.9678,49.8472,30.906421661376957,machine,N,1.0</t>
  </si>
  <si>
    <t>Processing took: 8900.768803520004
[codecarbon INFO @ 11:00:10] Energy consumed for RAM : 0.049438 kWh. RAM Power : 20.0 W
[codecarbon INFO @ 11:00:10] Delta energy consumed for CPU with constant : 0.000044 kWh, power : 32.5 W
[codecarbon INFO @ 11:00:10] Energy consumed for All CPU : 0.080347 kWh
[codecarbon INFO @ 11:00:10] 0.129785 kWh of electricity used since the beginning.</t>
  </si>
  <si>
    <t>2025-11-07T11:00:10,,a400e201-4667-48bc-bdcb-37585ad10f0c,5b0fa12a-3dd7-45bb-9766-cc326314d9f1,8900.889920843998,0.04944144177909336,5.5546627605529625e-06,32.5,0.0,20.0,0.08034701326713843,0.0,0.049437582556705766,0.12978459582384397,Germany,DEU,bavaria,,,Linux-6.6.87.2-microsoft-standard-WSL2-x86_64-with-glibc2.41,3.9.23,3.0.5,16,AMD Ryzen 7 7700 8-Core Processor,,,10.9678,49.8472,30.90642547607422,machine,N,1.0</t>
  </si>
  <si>
    <t>Processing took: 3652.685546978
[codecarbon INFO @ 19:38:00] Energy consumed for RAM : 0.020276 kWh. RAM Power : 20.0 W
[codecarbon INFO @ 19:38:00] Delta energy consumed for CPU with constant : 0.000053 kWh, power : 32.5 W
[codecarbon INFO @ 19:38:00] Energy consumed for All CPU : 0.032960 kWh
[codecarbon INFO @ 19:38:00] Energy consumed for all GPUs : 0.052676 kWh. Total GPU Power : 56.857745668064325 W
[codecarbon INFO @ 19:38:00] 0.105913 kWh of electricity used since the beginning.</t>
  </si>
  <si>
    <t>2025-11-06T19:38:00,,af58b7f8-2447-4e6f-9f48-a0c21cf0e0c9,5b0fa12a-3dd7-45bb-9766-cc326314d9f1,3652.811223813,0.04034740130447529,1.104557526582458e-05,32.5,56.857745668064325,20.0,0.032960172743865986,0.05267622880761599,0.020276188826455564,0.10591259037793749,Germany,DEU,bavaria,,,Linux-6.6.87.2-microsoft-standard-WSL2-x86_64-with-glibc2.41,3.9.23,3.0.5,16,AMD Ryzen 7 7700 8-Core Processor,1.0,1 x NVIDIA GeForce RTX 5070 Ti,10.9678,49.8472,30.90642547607422,machine,N,1.0</t>
  </si>
  <si>
    <t>Processing took: 5648.955187194995
[codecarbon INFO @ 15:53:32] Energy consumed for RAM : 0.031361 kWh. RAM Power : 20.0 W
[codecarbon INFO @ 15:53:32] Delta energy consumed for CPU with constant : 0.000051 kWh, power : 32.5 W
[codecarbon INFO @ 15:53:32] Energy consumed for All CPU : 0.050992 kWh
[codecarbon INFO @ 15:53:32] 0.082353 kWh of electricity used since the beginning.</t>
  </si>
  <si>
    <t>2025-11-07T15:53:32,,fbba9711-1ed3-47bc-a535-dcbe54c09047,5b0fa12a-3dd7-45bb-9766-cc326314d9f1,5649.084270135005,0.031372253253359336,5.5535112866371855e-06,32.5,0.0,20.0,0.05099209369155415,0.0,0.03136058580276091,0.08235267949431509,Germany,DEU,bavaria,,,Linux-6.6.87.2-microsoft-standard-WSL2-x86_64-with-glibc2.41,3.9.23,3.0.5,16,AMD Ryzen 7 7700 8-Core Processor,,,10.9678,49.8472,30.90642547607422,machine,N,1.0</t>
  </si>
  <si>
    <t>Processing took: 3772.9287908320002
[codecarbon INFO @ 16:29:33] Energy consumed for RAM : 0.020926 kWh. RAM Power : 20.0 W
[codecarbon INFO @ 16:29:33] Delta energy consumed for CPU with constant : 0.000031 kWh, power : 32.5 W
[codecarbon INFO @ 16:29:33] Energy consumed for All CPU : 0.034043 kWh
[codecarbon INFO @ 16:29:33] Energy consumed for all GPUs : 0.037144 kWh. Total GPU Power : 37.009595699671756 W
[codecarbon INFO @ 16:29:33] 0.092113 kWh of electricity used since the beginning.</t>
  </si>
  <si>
    <t>2025-10-29T16:29:33,,80ea2e38-8a44-4c72-a334-ece52251485d,5b0fa12a-3dd7-45bb-9766-cc326314d9f1,3773.0527362850003,0.03509052122959537,9.300299699533481e-06,32.5,37.009595699671756,20.0,0.034043391357336056,0.037143755270536,0.020926047307277755,0.09211319393514994,Germany,DEU,bavaria,,,Linux-6.6.87.2-microsoft-standard-WSL2-x86_64-with-glibc2.41,3.9.23,3.0.5,16,AMD Ryzen 7 7700 8-Core Processor,1.0,1 x NVIDIA GeForce RTX 5070 Ti,10.9678,49.8472,30.906421661376953,machine,N,1.0</t>
  </si>
  <si>
    <t>Processing took: 4098.877773276996
[codecarbon INFO @ 08:30:25] Energy consumed for RAM : 0.022771 kWh. RAM Power : 20.0 W
[codecarbon INFO @ 08:30:25] Delta energy consumed for CPU with constant : 0.000034 kWh, power : 32.5 W
[codecarbon INFO @ 08:30:25] Energy consumed for All CPU : 0.037004 kWh
[codecarbon INFO @ 08:30:25] 0.059775 kWh of electricity used since the beginning.</t>
  </si>
  <si>
    <t>2025-11-07T08:30:25,,b9fed60f-b43f-4251-9170-0c6b9e624764,5b0fa12a-3dd7-45bb-9766-cc326314d9f1,4098.997667964999,0.02277145289589504,5.555371029815742e-06,32.5,0.0,20.0,0.03700420429127541,0.0,0.02277123315693313,0.059775437448208533,Germany,DEU,bavaria,,,Linux-6.6.87.2-microsoft-standard-WSL2-x86_64-with-glibc2.41,3.9.23,3.0.5,16,AMD Ryzen 7 7700 8-Core Processor,,,10.9678,49.8472,30.90642547607422,machine,N,1.0</t>
  </si>
  <si>
    <t>Processing took: 2966.2775079639996
[codecarbon INFO @ 22:40:22] Energy consumed for RAM : 0.016478 kWh. RAM Power : 20.0 W
[codecarbon INFO @ 22:40:22] Delta energy consumed for CPU with constant : 0.000102 kWh, power : 32.5 W
[codecarbon INFO @ 22:40:22] Energy consumed for All CPU : 0.026778 kWh
[codecarbon INFO @ 22:40:22] Energy consumed for all GPUs : 0.029811 kWh. Total GPU Power : 37.04768380052634 W
[codecarbon INFO @ 22:40:22] 0.073067 kWh of electricity used since the beginning.</t>
  </si>
  <si>
    <t>2025-11-06T22:40:22,,16174d1d-88ad-421d-bb74-11ef60cd092b,5b0fa12a-3dd7-45bb-9766-cc326314d9f1,2966.412053779999,0.027835055903199145,9.383408440418744e-06,32.5,37.04768380052634,20.0,0.026778078222268617,0.029810964682085994,0.016478435513283225,0.07306747841763786,Germany,DEU,bavaria,,,Linux-6.6.87.2-microsoft-standard-WSL2-x86_64-with-glibc2.41,3.9.23,3.0.5,16,AMD Ryzen 7 7700 8-Core Processor,1.0,1 x NVIDIA GeForce RTX 5070 Ti,10.9678,49.8472,30.90642547607422,machine,N,1.0</t>
  </si>
  <si>
    <t>Text Summarization: German School Websites</t>
  </si>
  <si>
    <t>TS2/S1</t>
  </si>
  <si>
    <t>School Websites</t>
  </si>
  <si>
    <t>Processing took: 91.01017151599808
[codecarbon INFO @ 06:16:18] Energy consumed for RAM : 0.000248 kWh. RAM Power : 10.0 W
[codecarbon INFO @ 06:16:18] Delta energy consumed for CPU with constant : 0.000056 kWh, power : 14.0 W
[codecarbon INFO @ 06:16:18] Energy consumed for All CPU : 0.000348 kWh
[codecarbon INFO @ 06:16:18] 0.000596 kWh of electricity used since the beginning.</t>
  </si>
  <si>
    <t>2025-10-13T06:16:18,lexrank,db62304b-9e7a-4ba8-ad84-cf7d0c7757e9,5b0fa12a-3dd7-45bb-9766-cc326314d9f1,89.45171236200258,0.00022714493375495834,2.5393022420378538e-06,14.0,0.0,10.0,0.0003478617975932987,0.0,0.0002483973801333276,0.0005962591777266264,Germany,DEU,bavaria,,,Linux-6.6.87.2-microsoft-standard-WSL2-x86_64-with-glibc2.41,3.9.23,3.0.5,8,11th Gen Intel(R) Core(TM) i7-1185G7 @ 3.00GHz,,,10.9678,49.8472,15.47481918334961,machine,N,1.0</t>
  </si>
  <si>
    <t>Bert</t>
  </si>
  <si>
    <t>Processing took: 3048.973675463003
[codecarbon INFO @ 06:12:24] Energy consumed for RAM : 0.008464 kWh. RAM Power : 10.0 W
[codecarbon INFO @ 06:12:24] Delta energy consumed for CPU with constant : 0.000009 kWh, power : 14.0 W
[codecarbon INFO @ 06:12:24] Energy consumed for All CPU : 0.011851 kWh
[codecarbon INFO @ 06:12:24] 0.020315 kWh of electricity used since the beginning.</t>
  </si>
  <si>
    <t>2025-10-13T06:12:24,bert,d34fb6f3-9dae-457e-a50e-ea68b826fd34,5b0fa12a-3dd7-45bb-9766-cc326314d9f1,3047.370175776996,0.0077390154757881,2.5395718371546056e-06,14.0,0.0,10.0,0.0118506300333517,0.0,0.0084644125596083,0.02031504259296,Germany,DEU,bavaria,,,Linux-6.6.87.2-microsoft-standard-WSL2-x86_64-with-glibc2.41,3.9.23,3.0.5,8,11th Gen Intel(R) Core(TM) i7-1185G7 @ 3.00GHz,,,10.9678,49.8472,15.47481918334961,machine,N,1.0</t>
  </si>
  <si>
    <t>mLongT5</t>
  </si>
  <si>
    <t>Processing took: 57275.888686237995
[codecarbon INFO @ 06:58:44] Energy consumed for RAM : 0.159086 kWh. RAM Power : 10.0 W
[codecarbon INFO @ 06:58:44] Delta energy consumed for CPU with constant : 0.000007 kWh, power : 14.0 W
[codecarbon INFO @ 06:58:44] Energy consumed for All CPU : 0.222728 kWh
[codecarbon INFO @ 06:58:44] 0.381814 kWh of electricity used since the beginning.</t>
  </si>
  <si>
    <t>2025-11-14T06:58:44,mlongt5,684cb600-c523-4c9c-b967-06b737a80ec1,5b0fa12a-3dd7-45bb-9766-cc326314d9f1,57274.083295167,0.1454520678125993,2.539579150712886e-06,14.0,0.0,10.0,0.2227280978300013,0.0,0.15908596651597184,0.38181406434597537,Germany,DEU,bavaria,,,Linux-6.6.87.2-microsoft-standard-WSL2-x86_64-with-glibc2.41,3.9.23,3.0.5,8,11th Gen Intel(R) Core(TM) i7-1185G7 @ 3.00GHz,,,10.9842,49.8155,15.47481918334961,machine,N,1.0</t>
  </si>
  <si>
    <t>Mistral</t>
  </si>
  <si>
    <t>Processing took: 252902.2286827
[codecarbon INFO @ 12:43:10] Energy consumed for RAM : 1.404891 kWh. RAM Power : 20.0 W
[codecarbon INFO @ 12:43:10] Delta energy consumed for CPU with constant : 0.000032 kWh, power : 112.0 W
[codecarbon INFO @ 12:43:10] Energy consumed for All CPU : 7.867688 kWh
[codecarbon INFO @ 12:43:10] 9.272578 kWh of electricity used since the beginning.</t>
  </si>
  <si>
    <t>2025-10-20T12:43:10,mixtral,845be021-4f55-4684-8e9c-c9359df4570b,5b0fa12a-3dd7-45bb-9766-cc326314d9f1,252900.0074885,3.53238873578076,1.3967531163245957e-05,112.0,0.0,20.0,7.86768774230437,0.0,1.4048906427349965,9.2725783850394,Germany,DEU,bavaria,,,Windows-11-10.0.26100-SP0,3.13.0,3.0.4,8,11th Gen Intel(R) Core(TM) i7-1185G7 @ 3.00GHz,,,10.9678,49.8472,31.71001434326172,machine,N,1.0</t>
  </si>
  <si>
    <t>TS2/S2</t>
  </si>
  <si>
    <t>Processing took: 98.86305554
[codecarbon INFO @ 07:24:44] Energy consumed for RAM : 0.000541 kWh. RAM Power : 20.0 W
[codecarbon INFO @ 07:24:44] Delta energy consumed for CPU with constant : 0.000066 kWh, power : 32.5 W
[codecarbon INFO @ 07:24:44] Energy consumed for All CPU : 0.000879 kWh
[codecarbon INFO @ 07:24:44] 0.001419 kWh of electricity used since the beginning.</t>
  </si>
  <si>
    <t>2025-11-03T07:24:44,lexrank,113e1e24-3e82-4934-9e56-f904eb51e1eb,5b0fa12a-3dd7-45bb-9766-cc326314d9f1,97.33924501299998,0.000540713799337209,5.554941372978544e-06,32.5,0.0,20.0,0.0008787340338291665,0.0,0.0005406485605722222,0.0014193825944013886,Germany,DEU,bavaria,,,Linux-5.15.167.4-microsoft-standard-WSL2-x86_64-with-glibc2.41,3.9.24,3.0.7,8,Intel(R) Core(TM) i7-9700 CPU @ 3.00GHz,,,10.8334,49.9129,31.257816314697266,machine,N,1.0</t>
  </si>
  <si>
    <t xml:space="preserve">Processing took: 2963.4571180989997
[codecarbon INFO @ 08:18:18] Energy consumed for RAM : 0.016454 kWh. RAM Power : 20.0 W
[codecarbon INFO @ 08:18:18] Delta energy consumed for CPU with constant : 0.000046 kWh, power : 32.5 W
[codecarbon INFO @ 08:18:18] Energy consumed for All CPU : 0.026739 kWh
[codecarbon INFO @ 08:18:18] 0.043194 kWh of electricity used since the beginning.
</t>
  </si>
  <si>
    <t>2025-10-14T08:18:18,bert,40d832b3-27b4-4888-a092-36aaad78cd8b,5b0fa12a-3dd7-45bb-9766-cc326314d9f1,2961.930678098,0.0164546173691576,5.555368831158456e-06,32.5,0.0,20.0,0.0267392006182978,0.0,0.0164544399359944,0.0431936405542923,Germany,DEU,bavaria,,,Linux-5.15.167.4-microsoft-standard-WSL2-x86_64-with-glibc2.41,3.9.24,3.0.7,8,Intel(R) Core(TM) i7-9700 CPU @ 3.00GHz,,,10.8334,49.9129,31.25782012939453,machine,N,1.0</t>
  </si>
  <si>
    <t xml:space="preserve">Processing took: 24335.959905433003
[codecarbon INFO @ 01:11:57] Energy consumed for RAM : 0.135185 kWh. RAM Power : 20.0 W
[codecarbon INFO @ 01:11:57] Delta energy consumed for CPU with constant : 0.000013 kWh, power : 32.5 W
[codecarbon INFO @ 01:11:57] Energy consumed for All CPU : 0.219682 kWh
[codecarbon INFO @ 01:11:57] 0.354867 kWh of electricity used since the beginning.
</t>
  </si>
  <si>
    <t>2025-11-14T01:11:57,mlongt5,696ccbb8-9c77-4359-bad3-ba023e019f23,5b0fa12a-3dd7-45bb-9766-cc326314d9f1,24334.36323115701,0.135186583972454,5.555377910993169e-06,32.5,0.0,20.0,0.21968175871762413,0.0,0.13518524212882257,0.35486700084644707,Germany,DEU,bavaria,,,Linux-5.15.167.4-microsoft-standard-WSL2-x86_64-with-glibc2.41,3.9.24,3.0.7,8,Intel(R) Core(TM) i7-9700 CPU @ 3.00GHz,,,10.9842,49.8155,31.25782012939453,machine,N,1.0</t>
  </si>
  <si>
    <t>Processing took: 124585.9487111
[codecarbon INFO @ 05:08:06] Energy consumed for RAM : 0.692025 kWh. RAM Power : 20.0 W
[codecarbon INFO @ 05:08:06] Delta energy consumed for CPU with constant : 0.000135 kWh, power : 260.0 W
[codecarbon INFO @ 05:08:06] Energy consumed for All CPU : 8.996556 kWh
[codecarbon INFO @ 05:08:06] Energy consumed for all GPUs : 0.000000 kWh. Total GPU Power : 0.0 W
[codecarbon INFO @ 05:08:06] 9.688582 kWh of electricity used since the beginning.</t>
  </si>
  <si>
    <t>2025-11-06T05:08:06,mixtral,672f349d-8ed3-4648-89f8-49d3b5e9a9f7,5b0fa12a-3dd7-45bb-9766-cc326314d9f1,124581.0286156,3.690865178487722,2.9626221741000724e-05,260.0,0.0,20.0,8.996556254219453,0.0,0.6920253929461145,9.688581647165565,Germany,DEU,bavaria,,,Windows-11-10.0.26200-SP0,3.13.2,3.0.7,8,Intel(R) Core(TM) i7-9700 CPU @ 3.00GHz,1.0,1 x NVIDIA GeForce GTX 1050 Ti,10.9678,49.8472,63.81718826293945,machine,N,1.0</t>
  </si>
  <si>
    <t>TS2/S3</t>
  </si>
  <si>
    <t xml:space="preserve">Processing took: 63.42804092699953
[codecarbon INFO @ 13:30:22] Energy consumed for RAM : 0.000344 kWh. RAM Power : 20.0 W
[codecarbon INFO @ 13:30:22] Delta energy consumed for CPU with constant : 0.000017 kWh, power : 32.5 W
[codecarbon INFO @ 13:30:22] Energy consumed for All CPU : 0.000559 kWh
[codecarbon INFO @ 13:30:22] 0.000903 kWh of electricity used since the beginning.
</t>
  </si>
  <si>
    <t>2025-10-13T13:30:22,lexrank,1cea3972-8797-47c4-b3f6-6fcdb30e943a,5b0fa12a-3dd7-45bb-9766-cc326314d9f1,61.93382040199958,0.00034400013664363907,5.554318051281279e-06,32.5,0.0,20.0,0.0005590861386048536,0.0,0.0003439198638722145,0.0009030060024770681,Germany,DEU,bavaria,,,Linux-6.6.87.2-microsoft-standard-WSL2-x86_64-with-glibc2.41,3.9.24,3.0.7,16,AMD Ryzen 7 7700 8-Core Processor,,,10.9678,49.8472,30.906429290771484,machine,N,1.0</t>
  </si>
  <si>
    <t xml:space="preserve">Processing took: 1480.9923544120002
[codecarbon INFO @ 13:56:09] Energy consumed for RAM : 0.008219 kWh. RAM Power : 20.0 W
[codecarbon INFO @ 13:56:09] Delta energy consumed for CPU with constant : 0.000085 kWh, power : 32.5 W
[codecarbon INFO @ 13:56:09] Energy consumed for All CPU : 0.013356 kWh
[codecarbon INFO @ 13:56:09] 0.021576 kWh of electricity used since the beginning.
</t>
  </si>
  <si>
    <t>2025-10-13T13:56:09,bert,640dc656-13dc-4da5-937d-6fb4f271a84a,5b0fa12a-3dd7-45bb-9766-cc326314d9f1,1479.507664267,0.008219192389288657,5.555356411999888e-06,32.5,0.0,20.0,0.013356408464722871,0.0,0.008219106404127772,0.021575514868850655,Germany,DEU,bavaria,,,Linux-6.6.87.2-microsoft-standard-WSL2-x86_64-with-glibc2.41,3.9.24,3.0.7,16,AMD Ryzen 7 7700 8-Core Processor,,,10.9678,49.8472,30.906429290771484,machine,N,1.0</t>
  </si>
  <si>
    <t xml:space="preserve">Processing took: 387.472600974
[codecarbon INFO @ 16:54:20] Energy consumed for RAM : 0.002144 kWh. RAM Power : 20.0 W
[codecarbon INFO @ 16:54:20] Delta energy consumed for CPU with constant : 0.000099 kWh, power : 32.5 W
[codecarbon INFO @ 16:54:20] Energy consumed for All CPU : 0.003484 kWh
[codecarbon INFO @ 16:54:20] Energy consumed for all GPUs : 0.008774 kWh. Total GPU Power : 81.22210315641621 W
[codecarbon INFO @ 16:54:20] 0.014402 kWh of electricity used since the beginning.
</t>
  </si>
  <si>
    <t>2025-10-12T16:54:20,bert,f6805e66-bc1d-4c79-bb0b-aae3dbbe086c,5b0fa12a-3dd7-45bb-9766-cc326314d9f1,385.937768908,0.00548638315492752,1.4215719727175409e-05,32.5,81.22210315641621,20.0,0.0034839039782624997,0.008774052297014001,0.002143889517944445,0.014401845793220947,Germany,DEU,bavaria,,,Linux-6.6.87.2-microsoft-standard-WSL2-x86_64-with-glibc2.41,3.9.24,3.0.7,16,AMD Ryzen 7 7700 8-Core Processor,1.0,1 x NVIDIA GeForce RTX 5070 Ti,10.9678,49.8472,30.906429290771484,machine,N,1.0</t>
  </si>
  <si>
    <t xml:space="preserve">Processing took: 18414.631976744
[codecarbon INFO @ 11:18:39] Energy consumed for RAM : 0.102291 kWh. RAM Power : 20.0 W
[codecarbon INFO @ 11:18:39] Delta energy consumed for CPU with constant : 0.000068 kWh, power : 32.5 W
[codecarbon INFO @ 11:18:39] Energy consumed for All CPU : 0.166227 kWh
[codecarbon INFO @ 11:18:39] 0.268518 kWh of electricity used since the beginning.
</t>
  </si>
  <si>
    <t>2025-11-14T11:18:39,mlongt5,7d993eab-971a-4c15-b8a1-fe2fbf707d2b,5b0fa12a-3dd7-45bb-9766-cc326314d9f1,18413.106427499002,0.10229202840494345,5.555392231490918e-06,32.5,0.0,20.0,0.16622698569306746,0.0,0.10229126710898925,0.26851825280205655,Germany,DEU,bavaria,,,Linux-6.6.87.2-microsoft-standard-WSL2-x86_64-with-glibc2.41,3.9.24,3.0.7,16,AMD Ryzen 7 7700 8-Core Processor,,,10.9842,49.8155,30.906429290771484,machine,N,1.0</t>
  </si>
  <si>
    <t xml:space="preserve">Processing took: 2209.0436586239994
[codecarbon INFO @ 12:32:56] Energy consumed for RAM : 0.012263 kWh. RAM Power : 20.0 W
[codecarbon INFO @ 12:32:56] Delta energy consumed for CPU with constant : 0.000022 kWh, power : 32.5 W
[codecarbon INFO @ 12:32:56] Energy consumed for All CPU : 0.019927 kWh
[codecarbon INFO @ 12:32:56] Energy consumed for all GPUs : 0.071655 kWh. Total GPU Power : 110.54342300008152 W
[codecarbon INFO @ 12:32:56] 0.103845 kWh of electricity used since the beginning.
</t>
  </si>
  <si>
    <t>2025-11-14T12:32:56,mlongt5,5375fd6c-6dba-4e53-bba0-58cce85411bf,5b0fa12a-3dd7-45bb-9766-cc326314d9f1,2207.489898241998,0.03955962547655309,1.7920637149034116e-05,32.5,110.54342300008152,20.0,0.019927243319434275,0.071654795379346,0.012262627206333471,0.10384466590511376,Germany,DEU,bavaria,,,Linux-6.6.87.2-microsoft-standard-WSL2-x86_64-with-glibc2.41,3.9.24,3.0.7,16,AMD Ryzen 7 7700 8-Core Processor,1.0,1 x NVIDIA GeForce RTX 5070 Ti,10.9842,49.8155,30.906429290771484,machine,N,1.0</t>
  </si>
  <si>
    <t>Processing took: 42375.6718601
[codecarbon INFO @ 21:06:00] Energy consumed for RAM : 0.235371 kWh. RAM Power : 20.0 W
[codecarbon INFO @ 21:06:00] Delta energy consumed for CPU with constant : 0.000912 kWh, power : 520.0 W
[codecarbon INFO @ 21:06:00] Energy consumed for All CPU : 6.119850 kWh
[codecarbon INFO @ 21:06:00] Energy consumed for all GPUs : 0.090913 kWh. Total GPU Power : 7.756854188895491 W
[codecarbon INFO @ 21:06:00] 6.446135 kWh of electricity used since the beginning.</t>
  </si>
  <si>
    <t>2025-10-17T21:06:00,mixtral,88129907-3b48-4c14-b523-62e2e7acc9a5,5b0fa12a-3dd7-45bb-9766-cc326314d9f1,42373.9421883,2.4556549708388595,5.7952006446001566e-05,520.0,7.756854188895491,20.0,6.119850410483336,0.090913106897094,0.23537106941277744,6.446134586793173,Germany,DEU,bavaria,,,Windows-11-10.0.26200-SP0,3.13.9,3.0.7,16,AMD Ryzen 7 7700 8-Core Processor,1.0,1 x NVIDIA GeForce RTX 5070 Ti,10.9678,49.8472,63.11513137817383,machine,N,1.0</t>
  </si>
  <si>
    <t>Processing took: 11735.241880599999
[codecarbon INFO @ 16:52:44] Energy consumed for RAM : 0.065176 kWh. RAM Power : 20.0 W
[codecarbon INFO @ 16:52:44] Delta energy consumed for CPU with constant : 0.001745 kWh, power : 520.0 W
[codecarbon INFO @ 16:52:44] Energy consumed for All CPU : 1.694644 kWh
[codecarbon INFO @ 16:52:44] Energy consumed for all GPUs : 0.186682 kWh. Total GPU Power : 51.354630070343596 W
[codecarbon INFO @ 16:52:44] 1.946502 kWh of electricity used since the beginning.</t>
  </si>
  <si>
    <t>2025-11-14T16:52:44,mixtral,9bd98a5a-15ac-461d-a8db-fd74116779db,5b0fa12a-3dd7-45bb-9766-cc326314d9f1,11733.435874200004,0.7415200041187071,6.319717532604358e-05,520.0,51.354630070343596,20.0,1.6946442674489075,0.18668163767852403,0.0651762713227786,1.9465021764502088,Germany,DEU,bavaria,,,Windows-11-10.0.26200-SP0,3.13.9,3.0.7,16,AMD Ryzen 7 7700 8-Core Processor,1.0,1 x NVIDIA GeForce RTX 5070 Ti,10.9842,49.8155,63.11513137817383,machine,N,1.0</t>
  </si>
  <si>
    <t>Text Summarization: Multilingual Corpora</t>
  </si>
  <si>
    <t>TS3/S1</t>
  </si>
  <si>
    <t>Emails-Enron</t>
  </si>
  <si>
    <t xml:space="preserve">Processing took: 1.7792653550004616
[codecarbon INFO @ 07:37:21] Energy consumed for RAM : 0.000001 kWh. RAM Power : 10.0 W
[codecarbon INFO @ 07:37:21] Delta energy consumed for CPU with constant : 0.000001 kWh, power : 14.0 W
[codecarbon INFO @ 07:37:21] Energy consumed for All CPU : 0.000001 kWh
[codecarbon INFO @ 07:37:21] 0.000002 kWh of electricity used since the beginning.
</t>
  </si>
  <si>
    <t>2025-10-17T07:37:21,lexrank-emails,3cd3e29f-5cc7-420a-b805-5c85aa4e877d,5b0fa12a-3dd7-45bb-9766-cc326314d9f1,0.26563931700002286,6.734788648045173e-07,2.535313192378293e-06,14.0,0.0,10.0,1.032261377777609e-06,0.0,7.356316916659328e-07,1.7678930694435418e-06,Germany,DEU,bavaria,,,Linux-6.6.87.2-microsoft-standard-WSL2-x86_64-with-glibc2.41,3.9.24,3.0.7,8,11th Gen Intel(R) Core(TM) i7-1185G7 @ 3.00GHz,,,10.9678,49.8472,15.474815368652344,machine,N,1.0</t>
  </si>
  <si>
    <t>News-Newsroom</t>
  </si>
  <si>
    <t>Processing took: 1.6787581409998893
[codecarbon INFO @ 07:40:23] Energy consumed for RAM : 0.000000 kWh. RAM Power : 10.0 W
[codecarbon INFO @ 07:40:23] Delta energy consumed for CPU with constant : 0.000001 kWh, power : 14.0 W
[codecarbon INFO @ 07:40:23] Energy consumed for All CPU : 0.000001 kWh
[codecarbon INFO @ 07:40:23] 0.000001 kWh of electricity used since the beginning.</t>
  </si>
  <si>
    <t>2025-10-17T07:40:23,lexrank-news-EN,535a7ce2-ca2e-40e0-8816-0d2352207adc,5b0fa12a-3dd7-45bb-9766-cc326314d9f1,0.16085172799921565,4.0755518969332256e-07,2.533732119404461e-06,14.0,0.0,10.0,6.249251399968772e-07,0.0,4.4491391944221606e-07,1.0698390594390932e-06,Germany,DEU,bavaria,,,Linux-6.6.87.2-microsoft-standard-WSL2-x86_64-with-glibc2.41,3.9.24,3.0.7,8,11th Gen Intel(R) Core(TM) i7-1185G7 @ 3.00GHz,,,10.9678,49.8472,15.474815368652344,machine,N,1.0</t>
  </si>
  <si>
    <t>Papers-Termith</t>
  </si>
  <si>
    <t>Processing took: 3.323079620999124
[codecarbon INFO @ 09:46:32] Energy consumed for RAM : 0.000005 kWh. RAM Power : 10.0 W
[codecarbon INFO @ 09:46:32] Delta energy consumed for CPU with constant : 0.000006 kWh, power : 14.0 W
[codecarbon INFO @ 09:46:32] Energy consumed for All CPU : 0.000006 kWh
[codecarbon INFO @ 09:46:32] 0.000011 kWh of electricity used since the beginning.</t>
  </si>
  <si>
    <t>2025-10-22T09:46:32,lexrank-papers-FR,7fe75d0b-93f2-425f-8c0a-7204fc4fb1b0,5b0fa12a-3dd7-45bb-9766-cc326314d9f1,1.65629140099918,4.205583438324627e-06,2.5391567183090807e-06,14.0,0.0,10.0,6.440594471109256e-06,0.0,4.5991310527774154e-06,1.1039725523886671e-05,Germany,DEU,bavaria,,,Linux-6.6.87.2-microsoft-standard-WSL2-x86_64-with-glibc2.41,3.9.24,3.0.7,8,11th Gen Intel(R) Core(TM) i7-1185G7 @ 3.00GHz,,,10.9678,49.8472,15.474822998046875,machine,N,1.0</t>
  </si>
  <si>
    <t>Schools Websites-Custom</t>
  </si>
  <si>
    <t xml:space="preserve">Processing took: 3.7168132779997904
[codecarbon INFO @ 07:41:51] Energy consumed for RAM : 0.000006 kWh. RAM Power : 10.0 W
[codecarbon INFO @ 07:41:51] Delta energy consumed for CPU with constant : 0.000008 kWh, power : 14.0 W
[codecarbon INFO @ 07:41:51] Energy consumed for All CPU : 0.000008 kWh
[codecarbon INFO @ 07:41:51] 0.000014 kWh of electricity used since the beginning.
</t>
  </si>
  <si>
    <t>2025-10-17T07:41:51,lexrank-school-DE,1135ae69-d0f9-4a77-9722-1d217e3d65a0,5b0fa12a-3dd7-45bb-9766-cc326314d9f1,2.1740981380007725,5.520494639974737e-06,2.5392113370977808e-06,14.0,0.0,10.0,8.454160403891567e-06,0.0,6.037228597223374e-06,1.449138900111494e-05,Germany,DEU,bavaria,,,Linux-6.6.87.2-microsoft-standard-WSL2-x86_64-with-glibc2.41,3.9.24,3.0.7,8,11th Gen Intel(R) Core(TM) i7-1185G7 @ 3.00GHz,,,10.9678,49.8472,15.474815368652344,machine,N,1.0</t>
  </si>
  <si>
    <t>Web Snippets-Custom</t>
  </si>
  <si>
    <t xml:space="preserve">Processing took: 1.9888372089999393
[codecarbon INFO @ 07:43:54] Energy consumed for RAM : 0.000001 kWh. RAM Power : 10.0 W
[codecarbon INFO @ 07:43:54] Delta energy consumed for CPU with constant : 0.000002 kWh, power : 14.0 W
[codecarbon INFO @ 07:43:54] Energy consumed for All CPU : 0.000002 kWh
[codecarbon INFO @ 07:43:54] 0.000003 kWh of electricity used since the beginning.
</t>
  </si>
  <si>
    <t>2025-10-17T07:43:54,lexrank-web-IT,05793fb2-f539-4937-9a32-543ec1d07783,5b0fa12a-3dd7-45bb-9766-cc326314d9f1,0.467941996999798,1.1870814257734024e-06,2.5368131806598988e-06,14.0,0.0,10.0,1.8184006322220133e-06,0.0,1.2977075861095324e-06,3.1161082183315457e-06,Germany,DEU,bavaria,,,Linux-6.6.87.2-microsoft-standard-WSL2-x86_64-with-glibc2.41,3.9.24,3.0.7,8,11th Gen Intel(R) Core(TM) i7-1185G7 @ 3.00GHz,,,10.9678,49.8472,15.474815368652344,machine,N,1.0</t>
  </si>
  <si>
    <t>Processing took: 545.4816547330001
[codecarbon INFO @ 07:14:15] Energy consumed for RAM : 0.001511 kWh. RAM Power : 10.0 W
[codecarbon INFO @ 07:14:15] Delta energy consumed for CPU with constant : 0.000015 kWh, power : 14.0 W
[codecarbon INFO @ 07:14:15] Energy consumed for All CPU : 0.002116 kWh
[codecarbon INFO @ 07:14:15] 0.003627 kWh of electricity used since the beginning.</t>
  </si>
  <si>
    <t>2025-10-22T07:14:15,mlongt5-emails,73d5c92b-ab75-4392-98b1-51188734e0bb,5b0fa12a-3dd7-45bb-9766-cc326314d9f1,544.0187611200004,0.001381570547238,2.5395641584009613e-06,14.0,0.0,10.0,0.0021155814378805,0.0,0.0015110639151527,0.0036266453530333,Germany,DEU,bavaria,,,Linux-6.6.87.2-microsoft-standard-WSL2-x86_64-with-glibc2.35,3.11.9,3.0.7,8,11th Gen Intel(R) Core(TM) i7-1185G7 @ 3.00GHz,,,10.9678,49.8472,15.474822998046877,machine,N,1.0</t>
  </si>
  <si>
    <t xml:space="preserve">Processing took: 282.0948957119999
[codecarbon INFO @ 07:43:51] Energy consumed for RAM : 0.000780 kWh. RAM Power : 10.0 W
[codecarbon INFO @ 07:43:51] Delta energy consumed for CPU with constant : 0.000042 kWh, power : 14.0 W
[codecarbon INFO @ 07:43:51] Energy consumed for All CPU : 0.001092 kWh
[codecarbon INFO @ 07:43:51] 0.001871 kWh of electricity used since the beginning.
</t>
  </si>
  <si>
    <t>2025-10-22T07:43:51,mlongt5-news-en-and-fr,fbadf02a-f074-4409-b7bd-31c326b4bbea,5b0fa12a-3dd7-45bb-9766-cc326314d9f1,280.7326341600001,0.0007129399916423,2.539569344246792e-06,14.0,0.0,10.0,0.0010917146187811,0.0,0.0007797645560249,0.0018714791748061,Germany,DEU,bavaria,,,Linux-6.6.87.2-microsoft-standard-WSL2-x86_64-with-glibc2.35,3.11.9,3.0.7,8,11th Gen Intel(R) Core(TM) i7-1185G7 @ 3.00GHz,,,10.9678,49.8472,15.474822998046877,machine,N,1.0</t>
  </si>
  <si>
    <t xml:space="preserve">Processing took: 1329.8535665939999
[codecarbon INFO @ 09:37:53] Energy consumed for RAM : 0.003684 kWh. RAM Power : 10.0 W
[codecarbon INFO @ 09:37:53] Delta energy consumed for CPU with constant : 0.000029 kWh, power : 14.0 W
[codecarbon INFO @ 09:37:53] Energy consumed for All CPU : 0.005164 kWh
[codecarbon INFO @ 09:37:53] 0.008848 kWh of electricity used since the beginning.
</t>
  </si>
  <si>
    <t>2025-10-22T09:37:53,mlongt5-papers,46e10ba8-d79b-493a-b235-5ceab42a6353,5b0fa12a-3dd7-45bb-9766-cc326314d9f1,1328.0107003739995,0.003370824159128233,2.5382507521806327e-06,14.0,0.0,10.0,0.005164284122110564,0.0,0.0036841845985305564,0.008848468720641114,Germany,DEU,bavaria,,,Linux-6.6.87.2-microsoft-standard-WSL2-x86_64-with-glibc2.35,3.11.9,3.0.7,8,11th Gen Intel(R) Core(TM) i7-1185G7 @ 3.00GHz,,,10.9678,49.8472,15.474822998046875,machine,N,1.0</t>
  </si>
  <si>
    <t xml:space="preserve">Processing took: 879.1157029860005
[codecarbon INFO @ 10:16:11] Energy consumed for RAM : 0.002438 kWh. RAM Power : 10.0 W
[codecarbon INFO @ 10:16:11] Delta energy consumed for CPU with constant : 0.000030 kWh, power : 14.0 W
[codecarbon INFO @ 10:16:11] Energy consumed for All CPU : 0.003413 kWh
[codecarbon INFO @ 10:16:11] 0.005851 kWh of electricity used since the beginning.
</t>
  </si>
  <si>
    <t>2025-10-22T10:16:11,mlongt5-school,e03799f0-7148-4111-9c8d-8e7c31513b37,5b0fa12a-3dd7-45bb-9766-cc326314d9f1,877.7040097549998,0.0022289697638309,2.539546064570396e-06,14.0,0.0,10.0,0.0034132025646172,0.0,0.0024378796347027,0.00585108219932,Germany,DEU,bavaria,,,Linux-6.6.87.2-microsoft-standard-WSL2-x86_64-with-glibc2.35,3.11.9,3.0.7,8,11th Gen Intel(R) Core(TM) i7-1185G7 @ 3.00GHz,,,10.9678,49.8472,15.474822998046877,machine,N,1.0</t>
  </si>
  <si>
    <t>Processing took: 237.32118194299983
[codecarbon INFO @ 11:22:44] Energy consumed for RAM : 0.000655 kWh. RAM Power : 10.0 W
[codecarbon INFO @ 11:22:44] Delta energy consumed for CPU with constant : 0.000042 kWh, power : 14.0 W
[codecarbon INFO @ 11:22:44] Energy consumed for All CPU : 0.000918 kWh
[codecarbon INFO @ 11:22:44] 0.001573 kWh of electricity used since the beginning.</t>
  </si>
  <si>
    <t>2025-10-22T11:22:44,mlongt5-web,58253662-4bbd-4cb3-8d8b-3f6fb87617ea,5b0fa12a-3dd7-45bb-9766-cc326314d9f1,235.94107023799734,0.0005991869399483687,2.5395618462862773e-06,14.0,0.0,10.0,0.0009175245631532966,0.0,0.0006553509846833449,0.0015728755478366418,Germany,DEU,bavaria,,,Linux-6.6.87.2-microsoft-standard-WSL2-x86_64-with-glibc2.35,3.11.9,3.0.7,8,11th Gen Intel(R) Core(TM) i7-1185G7 @ 3.00GHz,,,10.9678,49.8472,15.474822998046875,machine,N,1.0</t>
  </si>
  <si>
    <t>Mistral Nemo</t>
  </si>
  <si>
    <t>Processing took: 1446.2061505879974
[codecarbon INFO @ 14:24:34] Energy consumed for RAM : 0.004013 kWh. RAM Power : 10.0 W
[codecarbon INFO @ 14:24:34] Delta energy consumed for CPU with constant : 0.000018 kWh, power : 14.0 W
[codecarbon INFO @ 14:24:34] Energy consumed for All CPU : 0.005618 kWh
[codecarbon INFO @ 14:24:34] 0.009631 kWh of electricity used since the beginning.</t>
  </si>
  <si>
    <t>2025-10-24T14:24:34,mistralnemo,32142011-b6d8-4972-91b6-f7a9db45b0b3,5b0fa12a-3dd7-45bb-9766-cc326314d9f1,1444.6667557599976,0.0036688622899230493,2.539590722424402e-06,14.0,0.0,10.0,0.005618049487240574,0.0,0.0040127742164555846,0.009630823703696152,Germany,DEU,bavaria,,,Linux-6.6.87.2-microsoft-standard-WSL2-x86_64-with-glibc2.39,3.12.3,3.0.7,8,11th Gen Intel(R) Core(TM) i7-1185G7 @ 3.00GHz,,,10.9678,49.8472,15.474822998046875,machine,N,1.0</t>
  </si>
  <si>
    <t xml:space="preserve">Processing took: 763.0041860800011
[codecarbon INFO @ 14:10:45] Energy consumed for RAM : 0.002115 kWh. RAM Power : 10.0 W
[codecarbon INFO @ 14:10:45] Delta energy consumed for CPU with constant : 0.000045 kWh, power : 14.0 W
[codecarbon INFO @ 14:10:45] Energy consumed for All CPU : 0.002962 kWh             
[codecarbon INFO @ 14:10:45] 0.005077 kWh of electricity used since the beginning.                           
</t>
  </si>
  <si>
    <t>2025-10-22T14:10:45,mistralnemo,14e94a15-49ce-49d1-a670-6e72ada133d6,5b0fa12a-3dd7-45bb-9766-cc326314d9f1,761.6145538199999,0.001934175495845,2.5395726567249502e-06,14.0,0.0,10.0,0.0029617742971832,0.0,0.002115468112175,0.0050772424093583,Germany,DEU,bavaria,,,Linux-6.6.87.2-microsoft-standard-WSL2-x86_64-with-glibc2.39,3.12.3,3.0.7,8,11th Gen Intel(R) Core(TM) i7-1185G7 @ 3.00GHz,,,10.9678,49.8472,15.474822998046877,machine,N,1.0</t>
  </si>
  <si>
    <t xml:space="preserve">Processing took: 2797.4379917210026
[codecarbon INFO @ 19:01:41] Energy consumed for RAM : 0.007766 kWh. RAM Power : 10.0 W
[codecarbon INFO @ 19:01:41] Delta energy consumed for CPU with constant : 0.000023 kWh, power : 14.0 W
[codecarbon INFO @ 19:01:41] Energy consumed for All CPU : 0.010873 kWh             
[codecarbon INFO @ 19:01:41] 0.018640 kWh of electricity used since the beginning.                                   
</t>
  </si>
  <si>
    <t>2025-10-22T19:01:41,mistralnemo,485f8601-2a85-4bb6-af12-fd09bfbe2801,5b0fa12a-3dd7-45bb-9766-cc326314d9f1,2796.0506477820018,0.0071008394312676425,2.5395961396123e-06,14.0,0.0,10.0,0.010873349725058176,0.0,0.007766470280894399,0.018639820005952597,Germany,DEU,bavaria,,,Linux-6.6.87.2-microsoft-standard-WSL2-x86_64-with-glibc2.39,3.12.3,3.0.7,8,11th Gen Intel(R) Core(TM) i7-1185G7 @ 3.00GHz,,,10.9678,49.8472,15.474822998046875,machine,N,1.0</t>
  </si>
  <si>
    <t>Processing took: 3277.0762211770016
[codecarbon INFO @ 07:45:29] Energy consumed for RAM : 0.009098 kWh. RAM Power : 10.0 W                 
[codecarbon INFO @ 07:45:29] Delta energy consumed for CPU with constant : 0.000021 kWh, power : 14.0 W 
[codecarbon INFO @ 07:45:29] Energy consumed for All CPU : 0.012738 kWh                                 
[codecarbon INFO @ 07:45:29] 0.021836 kWh of electricity used since the beginning.</t>
  </si>
  <si>
    <t>2025-10-27T07:45:29,mistralnemo,09cf69a8-5767-49e9-9627-d8ac7028b704,5b0fa12a-3dd7-45bb-9766-cc326314d9f1,3275.5203046239985,0.0083184750272996,2.539588906091217e-06,14.0,0.0,10.0,0.0127379017808037,0.0,0.0090982316416916,0.0218361334224954,Germany,DEU,bavaria,,,Linux-6.6.87.2-microsoft-standard-WSL2-x86_64-with-glibc2.39,3.12.3,3.0.7,8,11th Gen Intel(R) Core(TM) i7-1185G7 @ 3.00GHz,,,10.9678,49.8472,15.47481918334961,machine,N,1.0</t>
  </si>
  <si>
    <t>Processing took: 2310.421684576999
[codecarbon INFO @ 02:44:09] Energy consumed for RAM : 0.006414 kWh. RAM Power : 10.0 W                    
[codecarbon INFO @ 02:44:09] Delta energy consumed for CPU with constant : 0.000054 kWh, power : 14.0 W    
[codecarbon INFO @ 02:44:09] Energy consumed for All CPU : 0.008980 kWh                                    
[codecarbon INFO @ 02:44:09] 0.015393 kWh of electricity used since the beginning.</t>
  </si>
  <si>
    <t>2025-10-27T02:44:09,mistralnemo,fa1dec38-8a1b-4dd5-a996-46698208696a,5b0fa12a-3dd7-45bb-9766-cc326314d9f1,2309.056747441002,0.0058640614945461,2.5395917623267605e-06,14.0,0.0,10.0,0.0089795035139522,0.0,0.0064137541170916,0.0153932576310439,Germany,DEU,bavaria,,,Linux-6.6.87.2-microsoft-standard-WSL2-x86_64-with-glibc2.39,3.12.3,3.0.7,8,11th Gen Intel(R) Core(TM) i7-1185G7 @ 3.00GHz,,,10.9678,49.8472,15.47481918334961,machine,N,1.0</t>
  </si>
  <si>
    <t>TS3/S2</t>
  </si>
  <si>
    <t xml:space="preserve">Processing took: 1.9445324080006685
[codecarbon INFO @ 12:16:43] Energy consumed for RAM : 0.000002 kWh. RAM Power : 20.0 W
[codecarbon INFO @ 12:16:43] Delta energy consumed for CPU with constant : 0.000003 kWh, power : 32.5 W
[codecarbon INFO @ 12:16:43] Energy consumed for All CPU : 0.000003 kWh
[codecarbon INFO @ 12:16:43] 0.000005 kWh of electricity used since the beginning.
</t>
  </si>
  <si>
    <t>2025-11-13T12:16:43,lexrank-emails,3d077318-77ff-46db-9476-26eb17f3146c,5b0fa12a-3dd7-45bb-9766-cc326314d9f1,0.3360032229975331,1.86322002412722e-06,5.545244499457968e-06,32.5,0.0,20.0,3.0298432486233654e-06,0.0,1.86113988335516e-06,4.890983131978526e-06,Germany,DEU,bavaria,,,Linux-5.15.167.4-microsoft-standard-WSL2-x86_64-with-glibc2.41,3.9.24,3.0.7,8,Intel(R) Core(TM) i7-9700 CPU @ 3.00GHz,,,10.9842,49.8155,31.25782012939453,machine,N,1.0</t>
  </si>
  <si>
    <t xml:space="preserve">Processing took: 1.7822837049970985
[codecarbon INFO @ 12:20:47] Energy consumed for RAM : 0.000001 kWh. RAM Power : 20.0 W
[codecarbon INFO @ 12:20:47] Delta energy consumed for CPU with constant : 0.000002 kWh, power : 32.5 W
[codecarbon INFO @ 12:20:47] Energy consumed for All CPU : 0.000002 kWh
[codecarbon INFO @ 12:20:47] 0.000003 kWh of electricity used since the beginning.
</t>
  </si>
  <si>
    <t>2025-11-13T12:20:47,lexrank-news-EN,83417ec9-2f98-4100-8443-274b749250bb,5b0fa12a-3dd7-45bb-9766-cc326314d9f1,0.2259109959995839,1.249080843748238e-06,5.52908386872208e-06,32.5,0.0,20.0,2.032024213233146e-06,0.0,1.246833494466652e-06,3.278857707699798e-06,Germany,DEU,bavaria,,,Linux-5.15.167.4-microsoft-standard-WSL2-x86_64-with-glibc2.41,3.9.24,3.0.7,8,Intel(R) Core(TM) i7-9700 CPU @ 3.00GHz,,,10.9842,49.8155,31.25782012939453,machine,N,1.0</t>
  </si>
  <si>
    <t xml:space="preserve">Processing took: 3.5010544339966145
[codecarbon INFO @ 12:21:18] Energy consumed for RAM : 0.000011 kWh. RAM Power : 20.0 W
[codecarbon INFO @ 12:21:18] Delta energy consumed for CPU with constant : 0.000018 kWh, power : 32.5 W
[codecarbon INFO @ 12:21:18] Energy consumed for All CPU : 0.000018 kWh
[codecarbon INFO @ 12:21:18] 0.000028 kWh of electricity used since the beginning.
</t>
  </si>
  <si>
    <t>2025-11-13T12:21:18,lexrank-papers-FR,11310f1f-4147-4997-b5a6-8758e954f14d,5b0fa12a-3dd7-45bb-9766-cc326314d9f1,1.954500989006192,1.0856046063595906e-05,5.554382486711299e-06,32.5,0.0,20.0,1.7643014819496887e-05,0.0,1.0854284205561273e-05,2.849729902505816e-05,Germany,DEU,bavaria,,,Linux-5.15.167.4-microsoft-standard-WSL2-x86_64-with-glibc2.41,3.9.24,3.0.7,8,Intel(R) Core(TM) i7-9700 CPU @ 3.00GHz,,,10.9842,49.8155,31.25782012939453,machine,N,1.0</t>
  </si>
  <si>
    <t xml:space="preserve">Processing took: 4.270550474000629
[codecarbon INFO @ 12:21:40] Energy consumed for RAM : 0.000015 kWh. RAM Power : 20.0 W
[codecarbon INFO @ 12:21:40] Delta energy consumed for CPU with constant : 0.000025 kWh, power : 32.5 W
[codecarbon INFO @ 12:21:40] Energy consumed for All CPU : 0.000025 kWh
[codecarbon INFO @ 12:21:40] 0.000040 kWh of electricity used since the beginning.
</t>
  </si>
  <si>
    <t>2025-11-13T12:21:40,lexrank-school-DE,82f2865e-4bd2-42d5-8c14-9574cc14f997,5b0fa12a-3dd7-45bb-9766-cc326314d9f1,2.7203911789983977,1.5109212893800964e-05,5.5540589200719e-06,32.5,0.0,20.0,2.455512547221588e-05,0.0,1.5106806261084988e-05,3.966193173330086e-05,Germany,DEU,bavaria,,,Linux-5.15.167.4-microsoft-standard-WSL2-x86_64-with-glibc2.41,3.9.24,3.0.7,8,Intel(R) Core(TM) i7-9700 CPU @ 3.00GHz,,,10.9842,49.8155,31.25782012939453,machine,N,1.0</t>
  </si>
  <si>
    <t xml:space="preserve">Processing took: 2.152994068004773
[codecarbon INFO @ 12:21:54] Energy consumed for RAM : 0.000003 kWh. RAM Power : 20.0 W
[codecarbon INFO @ 12:21:54] Delta energy consumed for CPU with constant : 0.000006 kWh, power : 32.5 W
[codecarbon INFO @ 12:21:54] Energy consumed for All CPU : 0.000006 kWh
[codecarbon INFO @ 12:21:54] 0.000009 kWh of electricity used since the beginning.
</t>
  </si>
  <si>
    <t>2025-11-13T12:21:54,lexrank-web-IT,cc5225e6-c85c-4d34-9d61-d4f1a7d98949,5b0fa12a-3dd7-45bb-9766-cc326314d9f1,0.6148551349979243,3.412499848465988e-06,5.550087580349326e-06,32.5,0.0,20.0,5.547951499996392e-06,0.0,3.409916588902383e-06,8.957868088898774e-06,Germany,DEU,bavaria,,,Linux-5.15.167.4-microsoft-standard-WSL2-x86_64-with-glibc2.41,3.9.24,3.0.7,8,Intel(R) Core(TM) i7-9700 CPU @ 3.00GHz,,,10.9842,49.8155,31.25782012939453,machine,N,1.0</t>
  </si>
  <si>
    <t>Processing took: 349.305048591
[codecarbon INFO @ 09:37:49] Energy consumed for RAM : 0.001933 kWh. RAM Power : 20.0 W
[codecarbon INFO @ 09:37:49] Delta energy consumed for CPU with constant : 0.000025 kWh, power : 32.5 W
[codecarbon INFO @ 09:37:49] Energy consumed for All CPU : 0.003141 kWh
[codecarbon INFO @ 09:37:49] 0.005074 kWh of electricity used since the beginning.</t>
  </si>
  <si>
    <t>2025-11-14T09:37:49,mlongt5-emails,2454540b-5b89-41b5-a804-86433f1b5f1b,5b0fa12a-3dd7-45bb-9766-cc326314d9f1,347.915226445,0.0019327935463791,5.555357740816399e-06,32.5,0.0,20.0,0.0031408383995263,0.0,0.0019327763698111,0.0050736147693375,Germany,DEU,bavaria,,,Linux-5.15.167.4-microsoft-standard-WSL2-x86_64-with-glibc2.35,3.11.9,3.0.7,8,Intel(R) Core(TM) i7-9700 CPU @ 3.00GHz,,,10.9842,49.8155,31.25782012939453,machine,N,1.0</t>
  </si>
  <si>
    <t xml:space="preserve">Processing took: 656.6284820870001
[codecarbon INFO @ 09:49:50] Energy consumed for RAM : 0.003640 kWh. RAM Power : 20.0 W
[codecarbon INFO @ 09:49:50] Delta energy consumed for CPU with constant : 0.000091 kWh, power : 32.5 W
[codecarbon INFO @ 09:49:50] Energy consumed for All CPU : 0.005915 kWh
[codecarbon INFO @ 09:49:50] Energy consumed for all GPUs : 0.000000 kWh. Total GPU Power : 0.0 W
[codecarbon INFO @ 09:49:50] 0.009554 kWh of electricity used since the beginning.
</t>
  </si>
  <si>
    <t>2025-11-14T09:49:50,mlongt5-emails,27e4a7dc-c394-4cda-b958-d4a395462b78,5b0fa12a-3dd7-45bb-9766-cc326314d9f1,655.1893627110001,0.0036397154168496984,5.555211399937142e-06,32.5,0.0,20.0,0.005914616400568061,0.0,0.0036396962831166664,0.009554312683684731,Germany,DEU,bavaria,,,Linux-5.15.167.4-microsoft-standard-WSL2-x86_64-with-glibc2.35,3.11.9,3.0.7,8,Intel(R) Core(TM) i7-9700 CPU @ 3.00GHz,1.0,1 x NVIDIA GeForce GTX 1050 Ti,10.9842,49.8155,31.25782012939453,machine,N,1.0</t>
  </si>
  <si>
    <t>Processing took: 239.49105087999487
[codecarbon INFO @ 10:37:59] Energy consumed for RAM : 0.001323 kWh. RAM Power : 20.0 W
[codecarbon INFO @ 10:37:59] Delta energy consumed for CPU with constant : 0.000118 kWh, power : 32.5 W
[codecarbon INFO @ 10:37:59] Energy consumed for All CPU : 0.002150 kWh
[codecarbon INFO @ 10:37:59] 0.003473 kWh of electricity used since the beginning.</t>
  </si>
  <si>
    <t>2025-11-13T10:37:59,mlongt5-news-en-and-fr,5000de73-c376-46d5-8312-49a3c6668543,5b0fa12a-3dd7-45bb-9766-cc326314d9f1,238.14331667600345,0.0013229504084238438,5.555269939503413e-06,32.5,0.0,20.0,0.0021498322050201046,0.0,0.0013229343218832783,0.003472766526903383,Germany,DEU,bavaria,,,Linux-5.15.167.4-microsoft-standard-WSL2-x86_64-with-glibc2.35,3.11.9,3.0.7,8,Intel(R) Core(TM) i7-9700 CPU @ 3.00GHz,,,10.9842,49.8155,31.25782012939453,machine,N,1.0</t>
  </si>
  <si>
    <t>Processing took: 240.6109563639984
[codecarbon INFO @ 09:13:30] Energy consumed for RAM : 0.001329 kWh. RAM Power : 20.0 W
[codecarbon INFO @ 09:13:30] Delta energy consumed for CPU with constant : 0.000127 kWh, power : 32.5 W
[codecarbon INFO @ 09:13:30] Energy consumed for All CPU : 0.002159 kWh
[codecarbon INFO @ 09:13:30] Energy consumed for all GPUs : 0.000000 kWh. Total GPU Power : 0.0 W
[codecarbon INFO @ 09:13:30] 0.003488 kWh of electricity used since the beginning.</t>
  </si>
  <si>
    <t>2025-11-13T09:13:30,mlongt5-news-en-and-fr,fc7e6656-3ca4-43fc-af20-5b44a1072193,5b0fa12a-3dd7-45bb-9766-cc326314d9f1,239.21447350400558,0.0013288327581309832,5.554984774400501e-06,32.5,0.0,20.0,0.002159398276325808,0.0,0.0013288095150667178,0.0034882077913925267,Germany,DEU,bavaria,,,Linux-5.15.167.4-microsoft-standard-WSL2-x86_64-with-glibc2.35,3.11.9,3.0.7,8,Intel(R) Core(TM) i7-9700 CPU @ 3.00GHz,1.0,1 x NVIDIA GeForce GTX 1050 Ti,10.9842,49.8155,31.25782012939453,machine,N,1.0</t>
  </si>
  <si>
    <t>Processing took: 688.3538137000069
[codecarbon INFO @ 10:51:05] Energy consumed for RAM : 0.003817 kWh. RAM Power : 20.0 W
[codecarbon INFO @ 10:51:05] Delta energy consumed for CPU with constant : 0.000105 kWh, power : 32.5 W
[codecarbon INFO @ 10:51:05] Energy consumed for All CPU : 0.006202 kWh
[codecarbon INFO @ 10:51:05] 0.010019 kWh of electricity used since the beginning.</t>
  </si>
  <si>
    <t>2025-11-13T10:51:05,mlongt5-papers,ad0cfac8-70ea-4b46-b0d7-ed1bc47579ba,5b0fa12a-3dd7-45bb-9766-cc326314d9f1,687.0121650509973,0.003816618487214944,5.555387053345168e-06,32.5,0.0,20.0,0.006202114298972161,0.0,0.0038165718467554855,0.010018686145727639,Germany,DEU,bavaria,,,Linux-5.15.167.4-microsoft-standard-WSL2-x86_64-with-glibc2.35,3.11.9,3.0.7,8,Intel(R) Core(TM) i7-9700 CPU @ 3.00GHz,,,10.9842,49.8155,31.25782012939453,machine,N,1.0</t>
  </si>
  <si>
    <t>Processing took: 655.4812747079995
[codecarbon INFO @ 09:39:30] Energy consumed for RAM : 0.003634 kWh. RAM Power : 20.0 W
[codecarbon INFO @ 09:39:30] Delta energy consumed for CPU with constant : 0.000080 kWh, power : 32.5 W
[codecarbon INFO @ 09:39:30] Energy consumed for All CPU : 0.005905 kWh
[codecarbon INFO @ 09:39:30] Energy consumed for all GPUs : 0.000000 kWh. Total GPU Power : 0.0 W
[codecarbon INFO @ 09:39:30] 0.009538 kWh of electricity used since the beginning.</t>
  </si>
  <si>
    <t>2025-11-13T09:39:30,mlongt5-papers,d1d1f725-e31f-4490-afd8-f29dfa875e38,5b0fa12a-3dd7-45bb-9766-cc326314d9f1,654.1017391569985,0.0036335808075867618,5.55506978512195e-06,32.5,0.0,20.0,0.005904671226684038,0.0,0.003633538007038927,0.00953820923372296,Germany,DEU,bavaria,,,Linux-5.15.167.4-microsoft-standard-WSL2-x86_64-with-glibc2.35,3.11.9,3.0.7,8,Intel(R) Core(TM) i7-9700 CPU @ 3.00GHz,1.0,1 x NVIDIA GeForce GTX 1050 Ti,10.9842,49.8155,31.25782012939453,machine,N,1.0</t>
  </si>
  <si>
    <t xml:space="preserve">Processing took: 498.3852633899951
[codecarbon INFO @ 11:32:59] Energy consumed for RAM : 0.002761 kWh. RAM Power : 20.0 W
[codecarbon INFO @ 11:32:59] Delta energy consumed for CPU with constant : 0.000017 kWh, power : 32.5 W
[codecarbon INFO @ 11:32:59] Energy consumed for All CPU : 0.004487 kWh
[codecarbon INFO @ 11:32:59] 0.007248 kWh of electricity used since the beginning.
</t>
  </si>
  <si>
    <t>2025-11-13T11:32:59,mlongt5-school,911fb855-8363-4f5e-8d19-ca1fbf71004f,5b0fa12a-3dd7-45bb-9766-cc326314d9f1,497.0461267119972,0.00276126904474423,5.555357735126641e-06,32.5,0.0,20.0,0.004487146273368126,0.0,0.0027612302714388835,0.0072483765448070085,Germany,DEU,bavaria,,,Linux-5.15.167.4-microsoft-standard-WSL2-x86_64-with-glibc2.35,3.11.9,3.0.7,8,Intel(R) Core(TM) i7-9700 CPU @ 3.00GHz,,,10.9842,49.8155,31.25782012939453,machine,N,1.0</t>
  </si>
  <si>
    <t>Processing took: 499.1016737009995
[codecarbon INFO @ 09:56:37] Energy consumed for RAM : 0.002764 kWh. RAM Power : 20.0 W
[codecarbon INFO @ 09:56:37] Delta energy consumed for CPU with constant : 0.000015 kWh, power : 32.5 W
[codecarbon INFO @ 09:56:37] Energy consumed for All CPU : 0.004492 kWh
[codecarbon INFO @ 09:56:37] Energy consumed for all GPUs : 0.000000 kWh. Total GPU Power : 0.0 W
[codecarbon INFO @ 09:56:37] 0.007256 kWh of electricity used since the beginning.</t>
  </si>
  <si>
    <t>2025-11-13T09:56:37,mlongt5-school,7107ed9b-34f5-43f0-9c16-4aea3f935493,5b0fa12a-3dd7-45bb-9766-cc326314d9f1,497.64947281999775,0.002764325529909138,5.554764308790915e-06,32.5,0.0,20.0,0.004492104774083034,0.0,0.0027642950944276284,0.0072563998685106655,Germany,DEU,bavaria,,,Linux-5.15.167.4-microsoft-standard-WSL2-x86_64-with-glibc2.35,3.11.9,3.0.7,8,Intel(R) Core(TM) i7-9700 CPU @ 3.00GHz,1.0,1 x NVIDIA GeForce GTX 1050 Ti,10.9842,49.8155,31.25782012939453,machine,N,1.0</t>
  </si>
  <si>
    <t>Processing took: 189.40127383099752
[codecarbon INFO @ 11:42:09] Energy consumed for RAM : 0.001045 kWh. RAM Power : 20.0 W
[codecarbon INFO @ 11:42:09] Delta energy consumed for CPU with constant : 0.000072 kWh, power : 32.5 W
[codecarbon INFO @ 11:42:09] Energy consumed for All CPU : 0.001698 kWh
[codecarbon INFO @ 11:42:09] 0.002742 kWh of electricity used since the beginning.</t>
  </si>
  <si>
    <t>2025-11-13T11:42:09,mlongt5-web,dddf410b-7b10-4384-8151-a7e7c457247e,5b0fa12a-3dd7-45bb-9766-cc326314d9f1,188.04267977000563,0.0010446465740416326,5.555369532700429e-06,32.5,0.0,20.0,0.0016975813053604371,0.0,0.0010446330903388218,0.0027422143956992587,Germany,DEU,bavaria,,,Linux-5.15.167.4-microsoft-standard-WSL2-x86_64-with-glibc2.35,3.11.9,3.0.7,8,Intel(R) Core(TM) i7-9700 CPU @ 3.00GHz,,,10.9842,49.8155,31.25782012939453,machine,N,1.0</t>
  </si>
  <si>
    <t xml:space="preserve">Processing took: 193.52300111600198
[codecarbon INFO @ 10:24:45] Energy consumed for RAM : 0.001066 kWh. RAM Power : 20.0 W
[codecarbon INFO @ 10:24:45] Delta energy consumed for CPU with constant : 0.000108 kWh, power : 32.5 W
[codecarbon INFO @ 10:24:45] Energy consumed for All CPU : 0.001733 kWh
[codecarbon INFO @ 10:24:45] Energy consumed for all GPUs : 0.000000 kWh. Total GPU Power : 0.0 W
[codecarbon INFO @ 10:24:45] 0.002799 kWh of electricity used since the beginning.
</t>
  </si>
  <si>
    <t>2025-11-13T10:24:45,mlongt5-web,10bcab87-830d-455d-b046-d6cc1111c978,5b0fa12a-3dd7-45bb-9766-cc326314d9f1,191.96954274999734,0.0010664167997763048,5.555135385018359e-06,32.5,0.0,20.0,0.001732955164678404,0.0,0.0010664064307443673,0.0027993615954227716,Germany,DEU,bavaria,,,Linux-5.15.167.4-microsoft-standard-WSL2-x86_64-with-glibc2.35,3.11.9,3.0.7,8,Intel(R) Core(TM) i7-9700 CPU @ 3.00GHz,1.0,1 x NVIDIA GeForce GTX 1050 Ti,10.9842,49.8155,31.25782012939453,machine,N,1.0</t>
  </si>
  <si>
    <t xml:space="preserve">Processing took: 704.8360926099995
[codecarbon INFO @ 07:52:02] Energy consumed for RAM : 0.003908 kWh. RAM Power : 20.0 W
[codecarbon INFO @ 07:52:02] Delta energy consumed for CPU with constant : 0.000117 kWh, power : 32.5 W
[codecarbon INFO @ 07:52:02] Energy consumed for All CPU : 0.006351 kWh             
[codecarbon INFO @ 07:52:02] 0.010259 kWh of electricity used since the beginning.  </t>
  </si>
  <si>
    <t>2025-11-13T07:52:02,mistralnemo,7e3f8b53-5680-4d17-9daf-8d7a904d83d3,5b0fa12a-3dd7-45bb-9766-cc326314d9f1,703.4836608710029,0.0039081170662913,5.5553771660490175e-06,32.5,0.0,20.0,0.0063507888384055,0.0,0.0039080825785555,0.0102588714169611,Germany,DEU,bavaria,,,Linux-5.15.167.4-microsoft-standard-WSL2-x86_64-with-glibc2.39,3.12.3,3.0.7,8,Intel(R) Core(TM) i7-9700 CPU @ 3.00GHz,,,10.9842,49.8155,31.25782012939453,machine,N,1.0</t>
  </si>
  <si>
    <t>Processing took: 179.95903499000087
[codecarbon INFO @ 22:22:27] Energy consumed for RAM : 0.000992 kWh. RAM Power : 20.0 W
[codecarbon INFO @ 22:22:27] Energy consumed for All CPU : 0.001612 kWh
[codecarbon INFO @ 22:06:16] Energy consumed for all GPUs : 0.000000 kWh. Total GPU Power : 0.0 W
[codecarbon INFO @ 22:06:16] 0.002604 kWh of electricity used since the beginning.</t>
  </si>
  <si>
    <t>2025-11-12T22:06:16,mistralnemo,29eba719-4beb-4b8a-ac81-8b10a27fc746,5b0fa12a-3dd7-45bb-9766-cc326314d9f1,178.560923525999,0.0009919466750691,5.555228184764228e-06,32.5,0.0,20.0,0.0016119379879778,0.0,0.0009919383083055,0.0026038762962833,Germany,DEU,bavaria,,,Linux-5.15.167.4-microsoft-standard-WSL2-x86_64-with-glibc2.39,3.12.3,3.0.7,8,Intel(R) Core(TM) i7-9700 CPU @ 3.00GHz,1.0,1 x NVIDIA GeForce GTX 1050 Ti,10.9842,49.8155,31.25782012939453,machine,N,1.0</t>
  </si>
  <si>
    <t>Processing took: 369.6169304099967
[codecarbon INFO @ 07:03:55] Energy consumed for RAM : 0.002046 kWh. RAM Power : 20.0 W
[codecarbon INFO @ 07:03:55] Delta energy consumed for CPU with constant : 0.000072 kWh, power : 32.5 W 
[codecarbon INFO @ 07:03:55] Energy consumed for All CPU : 0.003324 kWh
[codecarbon INFO @ 07:03:55] 0.005370 kWh of electricity used since the beginning.</t>
  </si>
  <si>
    <t>2025-11-13T07:03:55,mistralnemo,40b7fc7b-892a-4bf0-8fa4-7c0f54c2c7ec,5b0fa12a-3dd7-45bb-9766-cc326314d9f1,368.2317830100001,0.0020456661770059,5.555376454156764e-06,32.5,0.0,20.0,0.0033242587766554,0.0,0.0020456484999055,0.005369907276561,Germany,DEU,bavaria,,,Linux-5.15.167.4-microsoft-standard-WSL2-x86_64-with-glibc2.39,3.12.3,3.0.7,8,Intel(R) Core(TM) i7-9700 CPU @ 3.00GHz,,,10.9842,49.8155,31.25782012939453,machine,N,1.0</t>
  </si>
  <si>
    <t>Processing took: 152.03654016699875
[codecarbon INFO @ 06:18:46] Energy consumed for RAM : 0.000837 kWh. RAM Power : 20.0 W
[codecarbon INFO @ 06:18:46] Delta energy consumed for CPU with constant : 0.000005 kWh, power : 32.5 W
[codecarbon INFO @ 06:18:46] Energy consumed for All CPU : 0.001360 kWh
[codecarbon INFO @ 06:18:46] Energy consumed for all GPUs : 0.000000 kWh. Total GPU Power : 0.0 W
[codecarbon INFO @ 06:18:46] 0.002197 kWh of electricity used since the beginning.</t>
  </si>
  <si>
    <t>2025-11-13T06:18:46,mistralnemo,e11efbc4-10a1-4feb-b61c-141097c0b298,5b0fa12a-3dd7-45bb-9766-cc326314d9f1,150.63574895200145,0.0008368020628764309,5.55513594016165e-06,32.5,0.0,20.0,0.001359825194298032,0.0,0.0008367939496222486,0.0021966191439202806,Germany,DEU,bavaria,,,Linux-5.15.167.4-microsoft-standard-WSL2-x86_64-with-glibc2.39,3.12.3,3.0.7,8,Intel(R) Core(TM) i7-9700 CPU @ 3.00GHz,1.0,1 x NVIDIA GeForce GTX 1050 Ti,10.9842,49.8155,31.25782012939453,machine,N,1.0</t>
  </si>
  <si>
    <t>Processing took: 1538.756546247001
[codecarbon INFO @ 07:29:44] Energy consumed for RAM : 0.008541 kWh. RAM Power : 20.0 W
[codecarbon INFO @ 07:29:44] Delta energy consumed for CPU with constant : 0.000056 kWh, power : 32.5 W
[codecarbon INFO @ 07:29:44] Energy consumed for All CPU : 0.013879 kWh
[codecarbon INFO @ 07:29:44] 0.022420 kWh of electricity used since the beginning.</t>
  </si>
  <si>
    <t>2025-11-13T07:29:44,mistralnemo,a32e17db-1e64-49ea-a4a5-b45a03208e02,5b0fa12a-3dd7-45bb-9766-cc326314d9f1,1537.400365749003,0.00854077481610104,5.555335491246665e-06,32.5,0.0,20.0,0.013878994695077765,0.0,0.008540679320150069,0.022419674015227823,Germany,DEU,bavaria,,,Linux-5.15.167.4-microsoft-standard-WSL2-x86_64-with-glibc2.39,3.12.3,3.0.7,8,Intel(R) Core(TM) i7-9700 CPU @ 3.00GHz,,,10.9842,49.8155,31.25782012939453,machine,N,1.0</t>
  </si>
  <si>
    <t>2025-11-12T22:22:27,mistralnemo,e1f30e88-8b07-417e-a091-3feddac4f327,5b0fa12a-3dd7-45bb-9766-cc326314d9f1,959.8474933260004,0.0053320309007642,5.555081341399363e-06,32.5,0.0,20.0,0.0086646780569736,0.0,0.0053319905367111,0.0139966685936847,Germany,DEU,bavaria,,,Linux-5.15.167.4-microsoft-standard-WSL2-x86_64-with-glibc2.39,3.12.3,3.0.7,8,Intel(R) Core(TM) i7-9700 CPU @ 3.00GHz,1.0,1 x NVIDIA GeForce GTX 1050 Ti,10.9842,49.8155,31.25782012939453,machine,N,1.0</t>
  </si>
  <si>
    <t xml:space="preserve">Processing took: 1708.504030444994
[codecarbon INFO @ 08:20:41] Energy consumed for RAM : 0.009484 kWh. RAM Power : 20.0 W
[codecarbon INFO @ 08:20:41] Delta energy consumed for CPU with constant : 0.000098 kWh, power : 32.5 W
[codecarbon INFO @ 08:20:41] Energy consumed for All CPU : 0.015412 kWh
[codecarbon INFO @ 08:20:41] 0.024895 kWh of electricity used since the beginning.
</t>
  </si>
  <si>
    <t>2025-11-13T08:20:41,mistralnemo,0e7fe14b-4c89-4e0d-931d-ac5154ff43ea,5b0fa12a-3dd7-45bb-9766-cc326314d9f1,1707.1642936599965,0.009483905724052,5.555356188782185e-06,32.5,0.0,20.0,0.015411598277265,0.0,0.0094838098446722,0.0248954081219373,Germany,DEU,bavaria,,,Linux-5.15.167.4-microsoft-standard-WSL2-x86_64-with-glibc2.39,3.12.3,3.0.7,8,Intel(R) Core(TM) i7-9700 CPU @ 3.00GHz,,,10.9842,49.8155,31.25782012939453,machine,N,1.0</t>
  </si>
  <si>
    <t>2025-11-12T21:55:42,mistralnemo,375e7ee0-4e82-45d5-bf70-f9e67ddac590,5b0fa12a-3dd7-45bb-9766-cc326314d9f1,337.8492843590002,0.001876821421233812,5.55520318710959e-06,32.5,0.0,20.0,0.003049883296299301,0.0,0.0018768037262333458,0.0049266870225326475,Germany,DEU,bavaria,,,Linux-5.15.167.4-microsoft-standard-WSL2-x86_64-with-glibc2.39,3.12.3,3.0.7,8,Intel(R) Core(TM) i7-9700 CPU @ 3.00GHz,1.0,1 x NVIDIA GeForce GTX 1050 Ti,10.9842,49.8155,31.25782012939453,machine,N,1.0</t>
  </si>
  <si>
    <t xml:space="preserve">Processing took: 1297.370953835998
[codecarbon INFO @ 08:42:28] Energy consumed for RAM : 0.007199 kWh. RAM Power : 20.0 W
[codecarbon INFO @ 08:42:28] Delta energy consumed for CPU with constant : 0.000044 kWh, power : 32.5 W
[codecarbon INFO @ 08:42:28] Energy consumed for All CPU : 0.011699 kWh
[codecarbon INFO @ 08:42:28] 0.018899 kWh of electricity used since the beginning.
</t>
  </si>
  <si>
    <t>2025-11-13T08:42:28,mistralnemo,b05c6aaf-5633-4e95-b13c-63129f6eb5d4,5b0fa12a-3dd7-45bb-9766-cc326314d9f1,1295.9717291050038,0.007199557542850335,5.555335337308892e-06,32.5,0.0,20.0,0.011699470246605607,0.0,0.007199486421855709,0.018898956668461305,Germany,DEU,bavaria,,,Linux-5.15.167.4-microsoft-standard-WSL2-x86_64-with-glibc2.39,3.12.3,3.0.7,8,Intel(R) Core(TM) i7-9700 CPU @ 3.00GHz,,,10.9842,49.8155,31.25782012939453,machine,N,1.0</t>
  </si>
  <si>
    <t>Processing took: 423.51624239899866
[codecarbon INFO @ 22:29:41] Energy consumed for RAM : 0.002345 kWh. RAM Power : 20.0 W
[codecarbon INFO @ 22:29:41] Delta energy consumed for CPU with constant : 0.000017 kWh, power : 32.5 W
[codecarbon INFO @ 22:29:41] Energy consumed for All CPU : 0.003811 kWh
[codecarbon INFO @ 22:29:41] Energy consumed for all GPUs : 0.000000 kWh. Total GPU Power : 0.0 W
[codecarbon INFO @ 22:29:41] 0.006156 kWh of electricity used since the beginning.</t>
  </si>
  <si>
    <t>2025-11-12T22:29:41,mistralnemo,ab579470-48a6-45f1-ada2-19e77a0f72a2,5b0fa12a-3dd7-45bb-9766-cc326314d9f1,422.13707057600004,0.002345075095542767,5.55524558016889e-06,32.5,0.0,20.0,0.003810799968200726,0.0,0.0023450606317277868,0.006155860599928513,Germany,DEU,bavaria,,,Linux-5.15.167.4-microsoft-standard-WSL2-x86_64-with-glibc2.39,3.12.3,3.0.7,8,Intel(R) Core(TM) i7-9700 CPU @ 3.00GHz,1.0,1 x NVIDIA GeForce GTX 1050 Ti,10.9842,49.8155,31.25782012939453,machine,N,1.0</t>
  </si>
  <si>
    <t>TS3/S3</t>
  </si>
  <si>
    <t>Processing took: 1.663230759000271
[codecarbon INFO @ 06:19:02] Energy consumed for RAM : 0.000001 kWh. RAM Power : 20.0 W
[codecarbon INFO @ 06:19:02] Delta energy consumed for CPU with constant : 0.000002 kWh, power : 32.5 W
[codecarbon INFO @ 06:19:02] Energy consumed for All CPU : 0.000002 kWh
[codecarbon INFO @ 06:19:02] 0.000002 kWh of electricity used since the beginning.</t>
  </si>
  <si>
    <t>2025-10-24T06:19:02,lexrank-emails,056ad041-ec04-4037-9110-07bafa99c280,5b0fa12a-3dd7-45bb-9766-cc326314d9f1,0.1696720509999068,9.406357564387965e-07,5.543846207406977e-06,32.5,0.0,20.0,1.529381154165637e-06,0.0,9.398031388880352e-07,2.4691842930536723e-06,Germany,DEU,bavaria,,,Linux-6.6.87.2-microsoft-standard-WSL2-x86_64-with-glibc2.41,3.9.24,3.0.7,16,AMD Ryzen 7 7700 8-Core Processor,,,10.9678,49.8472,30.90642547607422,machine,N,1.0</t>
  </si>
  <si>
    <t xml:space="preserve">Processing took: 1.6187089009999909
[codecarbon INFO @ 06:27:36] Energy consumed for RAM : 0.000001 kWh. RAM Power : 20.0 W
[codecarbon INFO @ 06:27:36] Delta energy consumed for CPU with constant : 0.000001 kWh, power : 32.5 W
[codecarbon INFO @ 06:27:36] Energy consumed for All CPU : 0.000001 kWh
[codecarbon INFO @ 06:27:36] 0.000002 kWh of electricity used since the beginning.
</t>
  </si>
  <si>
    <t>2025-10-24T06:27:36,lexrank-news-EN,12631753-559c-4821-a543-25a5e83d89fc,5b0fa12a-3dd7-45bb-9766-cc326314d9f1,0.1202843949999987,6.663480868862017e-07,5.539771695956142e-06,32.5,0.0,20.0,1.0841879659731528e-06,0.0,6.649866944447542e-07,1.749174660417907e-06,Germany,DEU,bavaria,,,Linux-6.6.87.2-microsoft-standard-WSL2-x86_64-with-glibc2.41,3.9.24,3.0.7,16,AMD Ryzen 7 7700 8-Core Processor,,,10.9678,49.8472,30.90642547607422,machine,N,1.0</t>
  </si>
  <si>
    <t>Processing took: 2.48021374200016
[codecarbon INFO @ 06:28:59] Energy consumed for RAM : 0.000006 kWh. RAM Power : 20.0 W
[codecarbon INFO @ 06:28:59] Delta energy consumed for CPU with constant : 0.000009 kWh, power : 32.5 W
[codecarbon INFO @ 06:28:59] Energy consumed for All CPU : 0.000009 kWh
[codecarbon INFO @ 06:28:59] 0.000015 kWh of electricity used since the beginning.</t>
  </si>
  <si>
    <t>2025-10-24T06:28:59,lexrank-papers-FR,a7efccf0-c206-49c6-b21a-8e8b00852d5a,5b0fa12a-3dd7-45bb-9766-cc326314d9f1,1.0106412969998928,5.613636148153996e-06,5.554528757946244e-06,32.5,0.0,20.0,9.123076904863109e-06,0.0,5.612810083334807e-06,1.4735886988197916e-05,Germany,DEU,bavaria,,,Linux-6.6.87.2-microsoft-standard-WSL2-x86_64-with-glibc2.41,3.9.24,3.0.7,16,AMD Ryzen 7 7700 8-Core Processor,,,10.9678,49.8472,30.90642547607422,machine,N,1.</t>
  </si>
  <si>
    <t>Processing took: 3.4072312620000957
[codecarbon INFO @ 06:29:36] Energy consumed for RAM : 0.000010 kWh. RAM Power : 20.0 W
[codecarbon INFO @ 06:29:36] Delta energy consumed for CPU with constant : 0.000017 kWh, power : 32.5 W
[codecarbon INFO @ 06:29:36] Energy consumed for All CPU : 0.000017 kWh
[codecarbon INFO @ 06:29:36] 0.000027 kWh of electricity used since the beginning.</t>
  </si>
  <si>
    <t>2025-10-24T06:29:36,lexrank-school-DE,a1fc373c-227d-4172-b5b1-4e04864b5074,5b0fa12a-3dd7-45bb-9766-cc326314d9f1,1.8606615339999732,1.0335545808785552e-05,5.554769430078249e-06,32.5,0.0,20.0,1.679624035555744e-05,0.0,1.0334736961112867e-05,2.7130977316670307e-05,Germany,DEU,bavaria,,,Linux-6.6.87.2-microsoft-standard-WSL2-x86_64-with-glibc2.41,3.9.24,3.0.7,16,AMD Ryzen 7 7700 8-Core Processor,,,10.9678,49.8472,30.90642547607422,machine,N,1.0</t>
  </si>
  <si>
    <t xml:space="preserve">Processing took: 1.7606556949999685
[codecarbon INFO @ 06:31:44] Energy consumed for RAM : 0.000002 kWh. RAM Power : 20.0 W
[codecarbon INFO @ 06:31:44] Delta energy consumed for CPU with constant : 0.000003 kWh, power : 32.5 W
[codecarbon INFO @ 06:31:44] Energy consumed for All CPU : 0.000003 kWh
[codecarbon INFO @ 06:31:44] 0.000005 kWh of electricity used since the beginning.
</t>
  </si>
  <si>
    <t>2025-10-24T06:31:44,lexrank-web-IT,513f8c02-26ba-47d7-9582-77d0c668c3d5,5b0fa12a-3dd7-45bb-9766-cc326314d9f1,0.30986544600000343,1.7195131672608773e-06,5.549225282966395e-06,32.5,0.0,20.0,2.7956057638874654e-06,0.0,1.718144511111556e-06,4.513750274999022e-06,Germany,DEU,bavaria,,,Linux-6.6.87.2-microsoft-standard-WSL2-x86_64-with-glibc2.41,3.9.24,3.0.7,16,AMD Ryzen 7 7700 8-Core Processor,,,10.9678,49.8472,30.90642547607422,machine,N,1.0</t>
  </si>
  <si>
    <t xml:space="preserve">Processing took: 198.38405784899987
[codecarbon INFO @ 06:39:00] Energy consumed for RAM : 0.001095 kWh. RAM Power : 20.0 W
[codecarbon INFO @ 06:39:00] Delta energy consumed for CPU with constant : 0.000018 kWh, power : 32.5 W
[codecarbon INFO @ 06:39:00] Energy consumed for All CPU : 0.001779 kWh
[codecarbon INFO @ 06:39:00] 0.002874 kWh of electricity used since the beginning.
</t>
  </si>
  <si>
    <t>2025-10-24T06:39:00,mlongt5-emails,e42e4828-83ff-4a73-b303-6e1ee816c1e1,5b0fa12a-3dd7-45bb-9766-cc326314d9f1,197.04580026800022,0.0010946640251517893,5.555378615849445e-06,32.5,0.0,20.0,0.0017788576601340243,0.0,0.0010946533653333316,0.0028735110254673557,Germany,DEU,bavaria,,,Linux-6.6.87.2-microsoft-standard-WSL2-x86_64-with-glibc2.35,3.11.9,3.0.7,16,AMD Ryzen 7 7700 8-Core Processor,,,10.9678,49.8472,30.90642547607422,machine,N,1.0</t>
  </si>
  <si>
    <t>Processing took: 60.45551371400143
[codecarbon INFO @ 08:49:22] Energy consumed for RAM : 0.000325 kWh. RAM Power : 20.0 W
[codecarbon INFO @ 08:49:22] Delta energy consumed for CPU with constant : 0.000123 kWh, power : 32.5 W     
[codecarbon INFO @ 08:49:22] Energy consumed for All CPU : 0.000529 kWh
[codecarbon INFO @ 08:49:22] Energy consumed for all GPUs : 0.000920 kWh. Total GPU Power : 83.78025294688533 W
[codecarbon INFO @ 08:49:22] 0.001775 kWh of electricity used since the beginning.</t>
  </si>
  <si>
    <t>2025-10-24T08:49:22,mlongt5-emails,0db64545-a81f-4eff-95b9-58190b24e27c,5b0fa12a-3dd7-45bb-9766-cc326314d9f1,58.59506491799948,0.000676095406139925,1.1538435994329604e-05,32.5,83.78025294688533,20.0,0.0005289448086000057,0.0009203190695879979,0.0003254976551888831,0.0017747615333768866,Germany,DEU,bavaria,,,Linux-6.6.87.2-microsoft-standard-WSL2-x86_64-with-glibc2.41,3.9.24,3.0.7,16,AMD Ryzen 7 7700 8-Core Processor,1.0,1 x NVIDIA GeForce RTX 5070 Ti,10.9678,49.8472,30.90642547607422,machine,N,1.0</t>
  </si>
  <si>
    <t>Processing took: 141.4314382800003
[codecarbon INFO @ 06:52:36] Energy consumed for RAM : 0.000778 kWh. RAM Power : 20.0 W
[codecarbon INFO @ 06:52:36] Delta energy consumed for CPU with constant : 0.000046 kWh, power : 32.5 W
[codecarbon INFO @ 06:52:36] Energy consumed for All CPU : 0.001265 kWh
[codecarbon INFO @ 06:52:36] 0.002043 kWh of electricity used since the beginning.</t>
  </si>
  <si>
    <t>2025-10-24T06:52:36,mlongt5-news-en-and-fr,3ba8093e-bb09-49a9-9e60-d91504ee5c93,5b0fa12a-3dd7-45bb-9766-cc326314d9f1,140.12147189799998,0.0007784305662528893,5.555398153535955e-06,32.5,0.0,20.0,0.0012649687003867933,0.0,0.0007784243072333387,0.002043393007620132,Germany,DEU,bavaria,,,Linux-6.6.87.2-microsoft-standard-WSL2-x86_64-with-glibc2.35,3.11.9,3.0.7,16,AMD Ryzen 7 7700 8-Core Processor,,,10.9678,49.8472,30.90642547607422,machine,N,1.0</t>
  </si>
  <si>
    <t>Processing took: 49.98626539099996
[codecarbon INFO @ 12:56:05] Energy consumed for RAM : 0.000269 kWh. RAM Power : 20.0 W
[codecarbon INFO @ 12:56:05] Delta energy consumed for CPU with constant : 0.000031 kWh, power : 32.5 W
[codecarbon INFO @ 12:56:05] Energy consumed for All CPU : 0.000437 kWh
[codecarbon INFO @ 12:56:05] Energy consumed for all GPUs : 0.000670 kWh. Total GPU Power : 83.35191276989345 W
[codecarbon INFO @ 12:56:05] 0.001376 kWh of electricity used since the beginning.</t>
  </si>
  <si>
    <t>2025-10-24T12:56:05,mlongt5-news-en-and-fr,9e57573f-1274-4714-a851-4b14eac9a703,5b0fa12a-3dd7-45bb-9766-cc326314d9f1,48.457534693999946,0.0005243263069111267,1.0820325677361569e-05,32.5,83.35191276989345,20.0,0.00043743043462083313,0.0006697544246920002,0.0002691802986111112,0.0013763651579239446,Germany,DEU,bavaria,,,Linux-6.6.87.2-microsoft-standard-WSL2-x86_64-with-glibc2.41,3.9.24,3.0.7,16,AMD Ryzen 7 7700 8-Core Processor,1.0,1 x NVIDIA GeForce RTX 5070 Ti,10.9678,49.8472,30.906421661376953,machine,N,1.0</t>
  </si>
  <si>
    <t>Processing took: 670.1445922570001
[codecarbon INFO @ 07:21:14] Energy consumed for RAM : 0.003716 kWh. RAM Power : 20.0 W
[codecarbon INFO @ 07:21:14] Delta energy consumed for CPU with constant : 0.000079 kWh, power : 32.5 W
[codecarbon INFO @ 07:21:14] Energy consumed for All CPU : 0.006038 kWh
[codecarbon INFO @ 07:21:14] 0.009754 kWh of electricity used since the beginning.</t>
  </si>
  <si>
    <t>2025-10-24T07:21:14,mlongt5-papers,897769ea-ce03-4b19-a348-2206c43c981a,5b0fa12a-3dd7-45bb-9766-cc326314d9f1,668.8328616469998,0.003715642380336556,5.55541241078794e-06,32.5,0.0,20.0,0.006038001476722246,0.0,0.003715620731800017,0.009753622208522262,Germany,DEU,bavaria,,,Linux-6.6.87.2-microsoft-standard-WSL2-x86_64-with-glibc2.35,3.11.9,3.0.7,16,AMD Ryzen 7 7700 8-Core Processor,,,10.9678,49.8472,30.90642547607422,machine,N,1.0</t>
  </si>
  <si>
    <t>Processing took: 50.06365176899999
[codecarbon INFO @ 12:59:33] Energy consumed for RAM : 0.000270 kWh. RAM Power : 20.0 W
[codecarbon INFO @ 12:59:33] Delta energy consumed for CPU with constant : 0.000032 kWh, power : 32.5 W
[codecarbon INFO @ 12:59:33] Energy consumed for All CPU : 0.000438 kWh
[codecarbon INFO @ 12:59:33] Energy consumed for all GPUs : 0.001173 kWh. Total GPU Power : 157.8226924756114 W
[codecarbon INFO @ 12:59:33] 0.001881 kWh of electricity used since the beginning.</t>
  </si>
  <si>
    <t>2025-10-24T12:59:33,mlongt5-papers,5f17672f-6a49-45df-976e-9eb5c981f8c6,5b0fa12a-3dd7-45bb-9766-cc326314d9f1,48.52409287099999,0.0007164767529126235,1.4765381700537046e-05,32.5,157.8226924756114,20.0,0.00043803285104583324,0.0011731787163199985,0.00026955166379999965,0.0018807632311658314,Germany,DEU,bavaria,,,Linux-6.6.87.2-microsoft-standard-WSL2-x86_64-with-glibc2.41,3.9.24,3.0.7,16,AMD Ryzen 7 7700 8-Core Processor,1.0,1 x NVIDIA GeForce RTX 5070 Ti,10.9678,49.8472,30.906421661376953,machine,N,1.0</t>
  </si>
  <si>
    <t>Processing took: 295.15022957200017
[codecarbon INFO @ 07:28:07] Energy consumed for RAM : 0.001632 kWh. RAM Power : 20.0 W
[codecarbon INFO @ 07:28:07] Delta energy consumed for CPU with constant : 0.000080 kWh, power : 32.5 W
[codecarbon INFO @ 07:28:07] Energy consumed for All CPU : 0.002653 kWh
[codecarbon INFO @ 07:28:07] 0.004285 kWh of electricity used since the beginning.</t>
  </si>
  <si>
    <t>2025-10-24T07:28:07,mlongt5-school,42a60718-8855-467b-976a-92934bd613f1,5b0fa12a-3dd7-45bb-9766-cc326314d9f1,293.84007224000015,0.0016323895761598587,5.555367461339887e-06,32.5,0.0,20.0,0.002652680608256262,0.0,0.0016323688107222347,0.004285049418978498,Germany,DEU,bavaria,,,Linux-6.6.87.2-microsoft-standard-WSL2-x86_64-with-glibc2.35,3.11.9,3.0.7,16,AMD Ryzen 7 7700 8-Core Processor,,,10.9678,49.8472,30.90642547607422,machine,N,1.0</t>
  </si>
  <si>
    <t>Processing took: 78.12592505299995
[codecarbon INFO @ 13:06:01] Energy consumed for RAM : 0.000426 kWh. RAM Power : 20.0 W
[codecarbon INFO @ 13:06:01] Delta energy consumed for CPU with constant : 0.000014 kWh, power : 32.5 W
[codecarbon INFO @ 13:06:01] Energy consumed for All CPU : 0.000691 kWh
[codecarbon INFO @ 13:06:01] Energy consumed for all GPUs : 0.001429 kWh. Total GPU Power : 100.1677400694943 W
[codecarbon INFO @ 13:06:01] 0.002546 kWh of electricity used since the beginning.</t>
  </si>
  <si>
    <t>2025-10-24T13:06:01,mlongt5-school,36f407c9-c1d6-46e0-859c-36431149987d,5b0fa12a-3dd7-45bb-9766-cc326314d9f1,76.6022366430002,0.0009697714326737216,1.2659831816573178e-05,32.5,100.1677400694943,20.0,0.0006914997915854155,0.0014286408651339993,0.00042552526446111187,0.0025456659211805267,Germany,DEU,bavaria,,,Linux-6.6.87.2-microsoft-standard-WSL2-x86_64-with-glibc2.41,3.9.24,3.0.7,16,AMD Ryzen 7 7700 8-Core Processor,1.0,1 x NVIDIA GeForce RTX 5070 Ti,10.9678,49.8472,30.906421661376953,machine,N,1.0</t>
  </si>
  <si>
    <t>Processing took: 110.61737911100045
[codecarbon INFO @ 07:41:29] Energy consumed for RAM : 0.000607 kWh. RAM Power : 20.0 W
[codecarbon INFO @ 07:41:29] Delta energy consumed for CPU with constant : 0.000039 kWh, power : 32.5 W
[codecarbon INFO @ 07:41:29] Energy consumed for All CPU : 0.000987 kWh
[codecarbon INFO @ 07:41:29] 0.001594 kWh of electricity used since the beginning.</t>
  </si>
  <si>
    <t>2025-10-24T07:41:29,mlongt5-web,5286eef2-3aa1-48e8-983e-8b5ff8f3ed6f,5b0fa12a-3dd7-45bb-9766-cc326314d9f1,109.31054282500008,0.0006072553362841167,5.555322666874848e-06,32.5,0.0,20.0,0.0009868092988631692,0.0,0.0006072459217277659,0.0015940552205909349,Germany,DEU,bavaria,,,Linux-6.6.87.2-microsoft-standard-WSL2-x86_64-with-glibc2.35,3.11.9,3.0.7,16,AMD Ryzen 7 7700 8-Core Processor,,,10.9678,49.8472,30.90642547607422,machine,N,1.0</t>
  </si>
  <si>
    <t>Processing took: 40.18666088500004
[codecarbon INFO @ 13:11:08] Energy consumed for RAM : 0.000215 kWh. RAM Power : 20.0 W
[codecarbon INFO @ 13:11:08] Delta energy consumed for CPU with constant : 0.000078 kWh, power : 32.5 W
[codecarbon INFO @ 13:11:08] Energy consumed for All CPU : 0.000349 kWh
[codecarbon INFO @ 13:11:08] Energy consumed for all GPUs : 0.000501 kWh. Total GPU Power : 93.22020631174598 W
[codecarbon INFO @ 13:11:08] 0.001064 kWh of electricity used since the beginning.</t>
  </si>
  <si>
    <t>2025-10-24T13:11:08,mlongt5-web,2a8af369-1842-404a-8041-550b22244356,5b0fa12a-3dd7-45bb-9766-cc326314d9f1,38.65428666400021,0.00040540596964380553,1.0487995113395047e-05,32.5,93.22020631174598,20.0,0.0003489343520451392,0.0005005390115419978,0.00021472395796111213,0.0010641973215482492,Germany,DEU,bavaria,,,Linux-6.6.87.2-microsoft-standard-WSL2-x86_64-with-glibc2.41,3.9.24,3.0.7,16,AMD Ryzen 7 7700 8-Core Processor,1.0,1 x NVIDIA GeForce RTX 5070 Ti,10.9678,49.8472,30.906421661376953,machine,N,1.0</t>
  </si>
  <si>
    <t xml:space="preserve">Processing took: 417.53588007099825
[codecarbon INFO @ 10:57:19] Energy consumed for RAM : 0.002312 kWh. RAM Power : 20.0 W 
[codecarbon INFO @ 10:57:19] Delta energy consumed for CPU with constant : 0.000101 kWh, power : 32.5 W 
[codecarbon INFO @ 10:57:19] Energy consumed for All CPU : 0.003757 kWh                 
[codecarbon INFO @ 10:57:19] 0.006070 kWh of electricity used since the beginning.       </t>
  </si>
  <si>
    <t>2025-10-24T10:57:19,mistralnemo,d257acbc-cf61-477a-81db-cc53441edace,5b0fa12a-3dd7-45bb-9766-cc326314d9f1,416.20743648200005,0.0023122081598335284,5.555422506088561e-06,32.5,0.0,20.0,0.0037573893924485896,0.0,0.0023121949620166357,0.006069584354465227,Germany,DEU,bavaria,,,Linux-6.6.87.2-microsoft-standard-WSL2-x86_64-with-glibc2.39,3.12.3,3.0.7,16,AMD Ryzen 7 7700 8-Core Processor,,,10.9678,49.8472,30.90642547607422,machine,N,1.0</t>
  </si>
  <si>
    <t xml:space="preserve">Processing took: 9.59942465900167
[codecarbon INFO @ 12:21:43] Energy consumed for RAM : 0.000046 kWh. RAM Power : 20.0 W                            
[codecarbon INFO @ 12:21:43] Delta energy consumed for CPU with constant : 0.000075 kWh, power : 32.5 W            
[codecarbon INFO @ 12:21:43] Energy consumed for All CPU : 0.000075 kWh                                            
[codecarbon INFO @ 12:21:43] Energy consumed for all GPUs : 0.000434 kWh. Total GPU Power : 188.69647082230634 W   
[codecarbon INFO @ 12:21:43] 0.000555 kWh of electricity used since the beginning.                                                        
</t>
  </si>
  <si>
    <t>2025-10-24T12:21:43,mistralnemo,cc1265c6-2600-4791-be7a-cda16d9c189b,5b0fa12a-3dd7-45bb-9766-cc326314d9f1,8.280481925001368,0.0002113294633852,2.5521396616688265e-05,32.5,188.6964708223064,20.0,7.474843845625401e-05,0.0004339978471979,4.5997022877782005e-05,0.000554743308532,Germany,DEU,bavaria,,,Linux-6.6.87.2-microsoft-standard-WSL2-x86_64-with-glibc2.39,3.12.3,3.0.7,16,AMD Ryzen 7 7700 8-Core Processor,1.0,1 x NVIDIA GeForce RTX 5070 Ti,10.9678,49.8472,30.90642547607422,machine,N,1.0</t>
  </si>
  <si>
    <t xml:space="preserve">Processing took: 203.13048774299932
[codecarbon INFO @ 09:15:47] Energy consumed for RAM : 0.001121 kWh. RAM Power : 20.0 W 
[codecarbon INFO @ 09:15:47] Delta energy consumed for CPU with constant : 0.000062 kWh, power : 32.5 W
[codecarbon INFO @ 09:15:47] Energy consumed for All CPU : 0.001822 kWh
[codecarbon INFO @ 09:15:47] 0.002943 kWh of electricity used since the beginning. </t>
  </si>
  <si>
    <t>2025-10-24T09:15:47,mistralnemo,7e5fce14-c5af-4c49-aa7d-e4b4ec628877,5b0fa12a-3dd7-45bb-9766-cc326314d9f1,201.82499284099868,0.0011212242732796,5.555428282179703e-06,32.5,0.0,20.0,0.0018220132021541,0.0,0.0011212189104055,0.0029432321125596,Germany,DEU,bavaria,,,Linux-6.6.87.2-microsoft-standard-WSL2-x86_64-with-glibc2.39,3.12.3,3.0.7,16,AMD Ryzen 7 7700 8-Core Processor,,,10.9678,49.8472,30.90642547607422,machine,N,1.0</t>
  </si>
  <si>
    <t>Processing took: 7.939404450000438 
[codecarbon INFO @ 08:32:53] Energy consumed for RAM : 0.000037 kWh. RAM Power : 20.0 W                    
[codecarbon INFO @ 08:32:53] Delta energy consumed for CPU with constant : 0.000060 kWh, power : 32.5 W    
[codecarbon INFO @ 08:32:53] Energy consumed for All CPU : 0.000060 kWh                                    
[codecarbon INFO @ 08:32:53] Energy consumed for all GPUs : 0.000346 kWh. Total GPU Power : 188.40227857083727 W
[codecarbon INFO @ 08:32:53] 0.000442 kWh of electricity used since the beginning.</t>
  </si>
  <si>
    <t>2025-10-24T08:32:53,mistralnemo,8b428ee6-7747-4034-b692-94ce08509d7e,5b0fa12a-3dd7-45bb-9766-cc326314d9f1,6.611927619000198,0.0001685379856861,2.548999254043204e-05,32.5,188.40227857083727,20.0,5.968549772430707e-05,0.0003460016656899,3.672781410555722e-05,0.0004424149775198,Germany,DEU,bavaria,,,Linux-6.6.87.2-microsoft-standard-WSL2-x86_64-with-glibc2.39,3.12.3,3.0.7,16,AMD Ryzen 7 7700 8-Core Processor,1,1 x NVIDIA GeForce RTX 5070 Ti,10.9678,49.8472,30.90642547607422,machine,N,1.0</t>
  </si>
  <si>
    <t xml:space="preserve">Processing took: 853.1264836749997
[codecarbon INFO @ 09:49:48] Energy consumed for RAM : 0.004732 kWh. RAM Power : 20.0 W 
[codecarbon INFO @ 09:49:48] Delta energy consumed for CPU with constant : 0.000106 kWh, power : 32.5 W 
[codecarbon INFO @ 09:49:48] Energy consumed for All CPU : 0.007690 kWh                 
[codecarbon INFO @ 09:49:48] 0.012422 kWh of electricity used since the beginning.                                                      
</t>
  </si>
  <si>
    <t>2025-10-24T09:49:48,mistralnemo,c45e51aa-5e2b-4c58-9ebe-68116bef281e,5b0fa12a-3dd7-45bb-9766-cc326314d9f1,851.8218466540002,0.004732231229445093,5.555423646427407e-06,32.5,0.0,20.0,0.00768997852765275,0.0,0.004732206088294464,0.012422184615947218,Germany,DEU,bavaria,,,Linux-6.6.87.2-microsoft-standard-WSL2-x86_64-with-glibc2.39,3.12.3,3.0.7,16,AMD Ryzen 7 7700 8-Core Processor,,,10.9678,49.8472,30.90642547607422,machine,N,1.0</t>
  </si>
  <si>
    <t xml:space="preserve">Processing took: 16.483709479000026
[codecarbon INFO @ 08:34:23] Energy consumed for RAM : 0.000084 kWh. RAM Power : 20.0 W                    
[codecarbon INFO @ 08:34:23] Delta energy consumed for CPU with constant : 0.000001 kWh, power : 32.5 W    
[codecarbon INFO @ 08:34:23] Energy consumed for All CPU : 0.000137 kWh                                    
[codecarbon INFO @ 08:34:23] Energy consumed for all GPUs : 0.000940 kWh. Total GPU Power : 149.40040459425938 W 
[codecarbon INFO @ 08:34:23] 0.001161 kWh of electricity used since the beginning.                         </t>
  </si>
  <si>
    <t>2025-10-24T08:34:23,mistralnemo,a2624266-e3ca-4ac4-a4b5-d77861e97e60,5b0fa12a-3dd7-45bb-9766-cc326314d9f1,15.142646393000177,0.000442319137105997,2.9210160867948614e-05,32.5,149.40040459425938,20.0,0.00013669191565071138,0.0009402876966739977,8.411537942223124e-05,0.0011610949917469405,Germany,DEU,bavaria,,,Linux-6.6.87.2-microsoft-standard-WSL2-x86_64-with-glibc2.39,3.12.3,3.0.7,16,AMD Ryzen 7 7700 8-Core Processor,1,1 x NVIDIA GeForce RTX 5070 Ti,10.9678,49.8472,30.90642547607422,machine,N,1.0</t>
  </si>
  <si>
    <t xml:space="preserve">Processing took: 994.4059026810028
[codecarbon INFO @ 11:14:04] Energy consumed for RAM : 0.005517 kWh. RAM Power : 20.0 W 
[codecarbon INFO @ 11:14:04] Delta energy consumed for CPU with constant : 0.000028 kWh, power : 32.5 W
[codecarbon INFO @ 11:14:04] Energy consumed for All CPU : 0.008965 kWh                 
[codecarbon INFO @ 11:14:04] 0.014482 kWh of electricity used since the beginning.  </t>
  </si>
  <si>
    <t>2025-10-24T11:14:04,mistralnemo,8419e1a7-9410-4187-928b-ad6f2b41303e,5b0fa12a-3dd7-45bb-9766-cc326314d9f1,993.0900184620004,0.005517023440557774,5.555411229590237e-06,32.5,0.0,20.0,0.00896529452781801,0.0,0.0055169825178776775,0.014482277045695692,Germany,DEU,bavaria,,,Linux-6.6.87.2-microsoft-standard-WSL2-x86_64-with-glibc2.39,3.12.3,3.0.7,16,AMD Ryzen 7 7700 8-Core Processor,,,10.9678,49.8472,30.90642547607422,machine,N,1.0</t>
  </si>
  <si>
    <t xml:space="preserve">Processing took: 45.646572687001026
[codecarbon INFO @ 12:22:39] Energy consumed for RAM : 0.000246 kWh. RAM Power : 20.0 W                            
[codecarbon INFO @ 12:22:39] Delta energy consumed for CPU with constant : 0.000129 kWh, power : 32.5 W            
[codecarbon INFO @ 12:22:39] Energy consumed for All CPU : 0.000400 kWh                                            
[codecarbon INFO @ 12:22:39] Energy consumed for all GPUs : 0.002543 kWh. Total GPU Power : 209.54036401147076 W   
[codecarbon INFO @ 12:22:39] 0.003189 kWh of electricity used since the beginning.                                 </t>
  </si>
  <si>
    <t>2025-10-24T12:22:39,mistralnemo,c4898623-32d6-4bb6-969b-002e3cfe8914,5b0fa12a-3dd7-45bb-9766-cc326314d9f1,44.34551929699956,0.0012150028538609,2.739854833413128e-05,32.5,209.5403640114708,20.0,0.000400323789468,0.00254272981196,0.0002463488237222,0.0031894024251502,Germany,DEU,bavaria,,,Linux-6.6.87.2-microsoft-standard-WSL2-x86_64-with-glibc2.39,3.12.3,3.0.7,16,AMD Ryzen 7 7700 8-Core Processor,1.0,1 x NVIDIA GeForce RTX 5070 Ti,10.9678,49.8472,30.90642547607422,machine,N,1.0</t>
  </si>
  <si>
    <t>Processing took: 688.6956194810009
[codecarbon INFO @ 12:07:52] Energy consumed for RAM : 0.003819 kWh. RAM Power : 20.0 W 
[codecarbon INFO @ 12:07:52] Delta energy consumed for CPU with constant : 0.000112 kWh, power : 32.5 W
[codecarbon INFO @ 12:07:52] Energy consumed for All CPU : 0.006205 kWh                 
[codecarbon INFO @ 12:07:52] 0.010024 kWh of electricity used since the beginning.</t>
  </si>
  <si>
    <t>2025-10-24T12:07:52,mistralnemo-,85e0d344-bda0-4172-a0ed-a7fb17365829,5b0fa12a-3dd7-45bb-9766-cc326314d9f1,687.3730330520011,0.0038186448431089,5.5554184692899065e-06,32.5,0.0,20.0,0.0062053848966055,0.0,0.0038186204665888,0.0100240053631944,Germany,DEU,bavaria,,,Linux-6.6.87.2-microsoft-standard-WSL2-x86_64-with-glibc2.39,3.12.3,3.0.7,16,AMD Ryzen 7 7700 8-Core Processor,,,10.9678,49.8472,30.90642547607422,machine,N,1.0</t>
  </si>
  <si>
    <t xml:space="preserve">Processing took: 16.974249656999746
[codecarbon INFO @ 12:25:17] Energy consumed for RAM : 0.000087 kWh. RAM Power : 20.0 W                           
[codecarbon INFO @ 12:25:17] Delta energy consumed for CPU with constant : 0.000006 kWh, power : 32.5 W           
[codecarbon INFO @ 12:25:17] Energy consumed for All CPU : 0.000141 kWh                                           
[codecarbon INFO @ 12:25:17] Energy consumed for all GPUs : 0.000897 kWh. Total GPU Power : 202.35643389222045 W  
[codecarbon INFO @ 12:25:17] 0.001125 kWh of electricity used since the beginning.                                </t>
  </si>
  <si>
    <t>2025-10-24T12:25:17,mistralnemo,af24dd51-e6f5-4097-b60e-57e211070f58,5b0fa12a-3dd7-45bb-9766-cc326314d9f1,15.643080289999489,0.00042856116946968616,2.739621363087053e-05,32.5,202.35643389222045,20.0,0.00014119161574375187,0.0008969046064120079,8.688387882779758e-05,0.0011249801009835573,Germany,DEU,bavaria,,,Linux-6.6.87.2-microsoft-standard-WSL2-x86_64-with-glibc2.39,3.12.3,3.0.7,16,AMD Ryzen 7 7700 8-Core Processor,1.0,1 x NVIDIA GeForce RTX 5070 Ti,10.9678,49.8472,30.90642547607422,machine,N,1.0</t>
  </si>
  <si>
    <t>Run</t>
  </si>
  <si>
    <t>1st</t>
  </si>
  <si>
    <t>2nd</t>
  </si>
  <si>
    <t>3rd</t>
  </si>
  <si>
    <t>2025-12-23T07:12:27,generate-markov,277a95c4-2ec7-4165-b0c4-2b2343d41e3d,5b0fa12a-3dd7-45bb-9766-cc326314d9f1,416.90597250299993,0.0010582720828258,2.5383951121454683e-06,14.0,0.0,10.0,0.0016208104084277,0.0,0.001157171171375,0.0027779815798027,0.0,Germany,DEU,bavaria,Linux-6.6.87.2-microsoft-standard-WSL2-x86_64-with-glibc2.35,3.10.12,3.2.0,8,11th Gen Intel(R) Core(TM) i7-1185G7 @ 3.00GHz,10.9545,49.9282,15.47481918334961,machine,N,1.0,0.0,,</t>
  </si>
  <si>
    <t>2025-12-23T07:19:51,generate-markov,cbcaebd4-9afc-4ac0-b356-7965ea3f5c24,5b0fa12a-3dd7-45bb-9766-cc326314d9f1,425.4567181309999,0.001079948741360931,2.5383280962281345e-06,14.0,0.0,10.0,0.0016540990061283333,0.0,0.0011807841579638868,0.0028348831640922197,0.0,Germany,DEU,bavaria,Linux-6.6.87.2-microsoft-standard-WSL2-x86_64-with-glibc2.35,3.10.12,3.2.0,8,11th Gen Intel(R) Core(TM) i7-1185G7 @ 3.00GHz,10.9545,49.9282,15.47481918334961,machine,N,1.0,0.0,,</t>
  </si>
  <si>
    <t>2025-12-23T07:24:34,generate-markov-oneword,7c400017-efcd-48f8-be1d-d4a84e11ac66,5b0fa12a-3dd7-45bb-9766-cc326314d9f1,192.78773358800004,0.00048949782544148,2.5390506767799282e-06,14.0,0.0,10.0,0.0007496091247827763,0.0,0.0005353306978750001,0.0012849398226577767,0.0,Germany,DEU,bavaria,,,Linux-6.6.87.2-microsoft-standard-WSL2-x86_64-with-glibc2.35,3.10.12,3.2.0,8,11th Gen Intel(R) Core(TM) i7-1185G7 @ 3.00GHz,,,10.9545,49.9282,15.47481918334961,machine,N,1.0,0.0</t>
  </si>
  <si>
    <t>2025-12-23T07:04:19,generate-markov,edc24084-df40-4c42-8ea4-d2f929ca0942,5b0fa12a-3dd7-45bb-9766-cc326314d9f1,437.34440338999997,0.0011099066918912484,2.537832159936191e-06,14.0,0.0,10.0,0.0017000796080488896,0.0,0.0012134436676861115,0.0029135232757350003,0.0,Germany,DEU,bavaria,Linux-6.6.87.2-microsoft-standard-WSL2-x86_64-with-glibc2.35,3.10.12,3.2.0,8,11th Gen Intel(R) Core(TM) i7-1185G7 @ 3.00GHz,10.9545,49.9282,15.47481918334961,machine,N,1.0,0.0,,</t>
  </si>
  <si>
    <t>2025-12-23T07:28:49,generate-markov-oneword,28dd907a-3699-4104-9719-f7ff9a9b4b74,5b0fa12a-3dd7-45bb-9766-cc326314d9f1,192.70919040500007,0.0004891826764088445,2.5384501661844564e-06,14.0,0.0,10.0,0.000749227285018331,0.0,0.0005348852662583316,0.0012841125512766624,0.0,Germany,DEU,bavaria,Linux-6.6.87.2-microsoft-standard-WSL2-x86_64-with-glibc2.35,3.10.12,3.2.0,8,11th Gen Intel(R) Core(TM) i7-1185G7 @ 3.00GHz,10.9545,49.9282,15.47481918334961,machine,N,1.0,0.0,,</t>
  </si>
  <si>
    <t>2025-12-23T07:34:53,generate-markov-oneword,f829a184-c2c2-40d9-8e6d-93ecc5d8a08b,5b0fa12a-3dd7-45bb-9766-cc326314d9f1,189.54204260100005,0.00048118436246846334,2.5386682335242734e-06,14.0,0.0,10.0,0.0007370193325600021,0.0,0.0005260975134000014,0.0012631168459600035,0.0,Germany,DEU,bavaria,,,Linux-6.6.87.2-microsoft-standard-WSL2-x86_64-with-glibc2.35,3.10.12,3.2.0,8,11th Gen Intel(R) Core(TM) i7-1185G7 @ 3.00GHz,,,10.9545,49.9282,15.47481918334961,machine,N,1.0,0.0</t>
  </si>
  <si>
    <t>2025-12-27T12:16:50,generate-LSTM,dedb02c6-8192-4827-900a-63e9d8d21ce2,5b0fa12a-3dd7-45bb-9766-cc326314d9f1,14340.247490918,0.0364181849263559,2.5395785497719204e-06,14.0,0.0,10.0,0.0557664645718484,0.0,0.0398318683494166,0.0955983329212651,Germany,DEU,bavaria,,,Linux-6.6.87.2-microsoft-standard-WSL2-x86_64-with-glibc2.35,3.10.12,3.0.4,8,11th Gen Intel(R) Core(TM) i7-1185G7 @ 3.00GHz,,,10.9545,49.9282,15.47481918334961,machine,N,1.0</t>
  </si>
  <si>
    <t>2025-12-27T21:47:29,generate-LSTM,560232fa-1fb0-4940-856b-d2f3b341bd8e,5b0fa12a-3dd7-45bb-9766-cc326314d9f1,14473.112713659997,0.036755583805310806,2.5395769750773924e-06,14.0,0.0,10.0,0.056283109059290314,0.0,0.04020090145471626,0.09648401051400657,Germany,DEU,bavaria,,,Linux-6.6.87.2-microsoft-standard-WSL2-x86_64-with-glibc2.35,3.10.12,3.0.4,8,11th Gen Intel(R) Core(TM) i7-1185G7 @ 3.00GHz,,,10.9545,49.9282,15.47481918334961,machine,N,1.0</t>
  </si>
  <si>
    <t>2025-12-28T02:09:16,generate-LSTM,53db290f-e914-4182-a987-b01985cc12d8,5b0fa12a-3dd7-45bb-9766-cc326314d9f1,14418.730863093995,0.03661748809227081,2.5395777506324416e-06,14.0,0.0,10.0,0.056071639363432804,0.0,0.04004986763819695,0.09612150700162964,Germany,DEU,bavaria,,,Linux-6.6.87.2-microsoft-standard-WSL2-x86_64-with-glibc2.35,3.10.12,3.0.4,8,11th Gen Intel(R) Core(TM) i7-1185G7 @ 3.00GHz,,,10.9545,49.9282,15.47481918334961,machine,N,1.0</t>
  </si>
  <si>
    <t>2025-12-28T23:28:50,generate-GPT2,cb3a2e1f-7b35-453d-8de1-33740ab4a916,5b0fa12a-3dd7-45bb-9766-cc326314d9f1,1509.8902909230019,0.0038344650152438817,2.539565316960783e-06,14.0,0.0,10.0,0.0058716592187944725,0.0,0.004193874355805545,0.01006553357460003,0.0,Germany,DEU,bavaria,,,Linux-6.6.87.2-microsoft-standard-WSL2-x86_64-with-glibc2.35,3.10.12,3.2.0,8,11th Gen Intel(R) Core(TM) i7-1185G7 @ 3.00GHz,,,10.9545,49.9282,15.474822998046875,machine,N,1.0,0.0</t>
  </si>
  <si>
    <t>2025-12-29T09:00:20,generate-GPT2,f3a7b03d-a76d-4046-b53f-8d8d200967a0,5b0fa12a-3dd7-45bb-9766-cc326314d9f1,1578.66565532,0.004009125386530787,2.539565849817722e-06,14.0,0.0,10.0,0.006139114747095553,0.0,0.0043849051676722196,0.010524019914767783,0.0,Germany,DEU,bavaria,,,Linux-6.6.87.2-microsoft-standard-WSL2-x86_64-with-glibc2.35,3.10.12,3.2.0,8,11th Gen Intel(R) Core(TM) i7-1185G7 @ 3.00GHz,,,10.9545,49.9282,15.474807739257812,machine,N,1.0,0.0</t>
  </si>
  <si>
    <t>2025-12-29T09:38:09,generate-GPT2,e6e8df91-b95f-4ce7-99cb-ac45bd14dc09,5b0fa12a-3dd7-45bb-9766-cc326314d9f1,1446.7230985230003,0.0036740616516236497,2.5395748885011934e-06,14.0,0.0,10.0,0.005626030979173898,0.0,0.004018441134288886,0.009644472113462789,0.0,Germany,DEU,bavaria,Linux-6.6.87.2-microsoft-standard-WSL2-x86_64-with-glibc2.35,3.10.12,3.2.0,8,11th Gen Intel(R) Core(TM) i7-1185G7 @ 3.00GHz,10.9545,49.9282,15.474807739257812,machine,N,1.0,0.0,,</t>
  </si>
  <si>
    <t>2025-12-29T12:14:05,generate-gpt2-finetuned,ebef23e6-5e5f-48d0-8994-ea5551d2b469,5b0fa12a-3dd7-45bb-9766-cc326314d9f1,1744.574079385,0.004430468334916885,2.539570194966281e-06,14.0,0.0,10.0,0.006784306315787777,0.0,0.00484574575119446,0.011630052066982241,0.0,Germany,DEU,bavaria,Linux-6.6.87.2-microsoft-standard-WSL2-x86_64-with-glibc2.35,3.10.12,3.2.0,8,11th Gen Intel(R) Core(TM) i7-1185G7 @ 3.00GHz,10.9545,49.9282,15.474807739257812,machine,N,1.0,0.0,,</t>
  </si>
  <si>
    <t>2025-12-29T12:47:44,generate-gpt2-finetuned,b8f0b6f9-5d4b-4770-b11c-6824f7f045a8,5b0fa12a-3dd7-45bb-9766-cc326314d9f1,1768.9484917440004,0.004492371752042662,2.539571826432124e-06,14.0,0.0,10.0,0.006879094519410598,0.0,0.0049134550331361,0.01179254955254669,0.0,Germany,DEU,bavaria,,,Linux-6.6.87.2-microsoft-standard-WSL2-x86_64-with-glibc2.35,3.10.12,3.2.0,8,11th Gen Intel(R) Core(TM) i7-1185G7 @ 3.00GHz,,,10.9545,49.9282,15.474807739257812,machine,N,1.0,0.0</t>
  </si>
  <si>
    <t>2025-12-29T13:18:33,generate-gpt2-finetuned,ea5accde-7b55-41a8-8bf6-e5495e9bca83,5b0fa12a-3dd7-45bb-9766-cc326314d9f1,1801.352216333,0.00457464223092346,2.5395601090363257e-06,14.0,0.0,10.0,0.007005081329236705,0.0,0.0050034295801305575,0.012008510909367266,0.0,Germany,DEU,bavaria,Linux-6.6.87.2-microsoft-standard-WSL2-x86_64-with-glibc2.35,3.10.12,3.2.0,8,11th Gen Intel(R) Core(TM) i7-1185G7 @ 3.00GHz,10.9545,49.9282,15.474807739257812,machine,N,1.0,0.0,,</t>
  </si>
  <si>
    <t>2025-12-29T14:22:47,ts1,d1145e21-62ec-46f5-9c4b-74a8c4fa476e,5b0fa12a-3dd7-45bb-9766-cc326314d9f1,45.5131630270007,0.00011553936457942903,2.538592286167526e-06,14.0,0.0,10.0,0.00017693196005332033,0.0,0.00012636076754722833,0.0003032927276005487,0.0,Germany,DEU,bavaria,,,Linux-6.6.87.2-microsoft-standard-WSL2-x86_64-with-glibc2.41,3.9.25,3.2.0,8,11th Gen Intel(R) Core(TM) i7-1185G7 @ 3.00GHz,,,10.9545,49.9282,15.474807739257812,machine,N,1.0,0.0</t>
  </si>
  <si>
    <t>2025-12-29T14:24:10,ts1,d6223080-0325-41ec-8b04-09b6e02a27cd,5b0fa12a-3dd7-45bb-9766-cc326314d9f1,45.323143898000126,0.0001150554976472157,2.5385595029803856e-06,14.0,0.0,10.0,0.0001761975662066652,0.0,0.000125825002758332,0.00030202256896499723,0.0,Germany,DEU,bavaria,Linux-6.6.87.2-microsoft-standard-WSL2-x86_64-with-glibc2.41,3.9.25,3.2.0,8,11th Gen Intel(R) Core(TM) i7-1185G7 @ 3.00GHz,10.9545,49.9282,15.474807739257812,machine,N,1.0,0.0,,</t>
  </si>
  <si>
    <t>2025-12-29T14:26:02,ts1,ee301a18-4b15-43a5-9ca5-bcf3b1eff596,5b0fa12a-3dd7-45bb-9766-cc326314d9f1,44.90481004300091,0.00011401215444963427,2.5389742065595216e-06,14.0,0.0,10.0,0.00017458684250388617,0.0,0.0001246969334500035,0.00029928377595388964,0.0,Germany,DEU,bavaria,,,Linux-6.6.87.2-microsoft-standard-WSL2-x86_64-with-glibc2.41,3.9.25,3.2.0,8,11th Gen Intel(R) Core(TM) i7-1185G7 @ 3.00GHz,,,10.9545,49.9282,15.474807739257812,machine,N,1.0,0.0</t>
  </si>
  <si>
    <t>2025-12-29T14:31:44,ts1,f8f7c870-c5e4-43c9-8498-cee6c8899c9a,5b0fa12a-3dd7-45bb-9766-cc326314d9f1,38.6139624009993,9.80530400810815e-05,2.539315677132994e-06,14.0,0.0,10.0,0.00015016344863334475,0.0,0.00010722739027223725,0.0002573908389055821,0.0,Germany,DEU,bavaria,Linux-6.6.87.2-microsoft-standard-WSL2-x86_64-with-glibc2.41,3.9.25,3.2.0,8,11th Gen Intel(R) Core(TM) i7-1185G7 @ 3.00GHz,10.9545,49.9282,15.474807739257812,machine,N,1.0,0.0,,</t>
  </si>
  <si>
    <t>2025-12-29T14:34:05,ts1,685e7f70-ed3a-437f-8dae-ed9a8a0b8d02,5b0fa12a-3dd7-45bb-9766-cc326314d9f1,38.19812492499841,9.698517446913132e-05,2.5390035416544822e-06,14.0,0.0,10.0,0.00014852403966554952,0.0,0.00010606363448888362,0.00025458767415443315,0.0,Germany,DEU,bavaria,,,Linux-6.6.87.2-microsoft-standard-WSL2-x86_64-with-glibc2.41,3.9.25,3.2.0,8,11th Gen Intel(R) Core(TM) i7-1185G7 @ 3.00GHz,,,10.9545,49.9282,15.474807739257812,machine,N,1.0,0.0</t>
  </si>
  <si>
    <t>2025-12-29T14:35:31,ts1,37a6fc02-7770-43b8-92cc-460a9e34d473,5b0fa12a-3dd7-45bb-9766-cc326314d9f1,38.39092827499917,9.748422254794232e-05,2.5392515088369383e-06,14.0,0.0,10.0,0.00014927591059887667,0.0,0.00010662177294999412,0.00025589768354887076,0.0,Germany,DEU,bavaria,Linux-6.6.87.2-microsoft-standard-WSL2-x86_64-with-glibc2.41,3.9.25,3.2.0,8,11th Gen Intel(R) Core(TM) i7-1185G7 @ 3.00GHz,10.9545,49.9282,15.474807739257812,machine,N,1.0,0.0,,</t>
  </si>
  <si>
    <t>2025-12-29T15:55:42,ts_1,e0e47a86-7aa0-4edd-a271-05da59ff18f9,5b0fa12a-3dd7-45bb-9766-cc326314d9f1,686.3682967739987,0.0017430804220513452,2.5395701261902708e-06,14.0,0.0,10.0,0.0026691514774322567,0.0,0.001906463228044433,0.0045756147054766905,0.0,Germany,DEU,bavaria,Linux-6.6.87.2-microsoft-standard-WSL2-x86_64-with-glibc2.41,3.9.25,3.2.0,8,11th Gen Intel(R) Core(TM) i7-1185G7 @ 3.00GHz,10.9545,49.9282,15.474807739257812,machine,N,1.0,0.0,,</t>
  </si>
  <si>
    <t>2025-12-29T16:23:51,ts_1,438d4fe3-5e9f-491a-bc0e-cffe89f6e5ae,5b0fa12a-3dd7-45bb-9766-cc326314d9f1,692.9576036559993,0.0017598138905295785,2.5395693491851664e-06,14.0,0.0,10.0,0.0026947760509172442,0.0,0.0019247642838499915,0.004619540334767236,0.0,Germany,DEU,bavaria,Linux-6.6.87.2-microsoft-standard-WSL2-x86_64-with-glibc2.41,3.9.25,3.2.0,8,11th Gen Intel(R) Core(TM) i7-1185G7 @ 3.00GHz,10.9545,49.9282,15.474807739257812,machine,N,1.0,0.0,,</t>
  </si>
  <si>
    <t>2025-12-29T16:36:29,ts_1,5222c726-b114-4b27-a156-38f593228238,5b0fa12a-3dd7-45bb-9766-cc326314d9f1,712.7261259079969,0.0018100114314852532,2.5395609417002073e-06,14.0,0.0,10.0,0.0027716431958871974,0.0,0.0019796665074472406,0.004751309703334435,0.0,Germany,DEU,bavaria,,,Linux-6.6.87.2-microsoft-standard-WSL2-x86_64-with-glibc2.41,3.9.25,3.2.0,8,11th Gen Intel(R) Core(TM) i7-1185G7 @ 3.00GHz,,,10.9545,49.9282,15.474807739257812,machine,N,1.0,0.0</t>
  </si>
  <si>
    <t>2025-12-30T12:36:35,ts_1,c953c296-f558-42bc-8a94-f343e47b63ab,5b0fa12a-3dd7-45bb-9766-cc326314d9f1,1388.733086498,0.0035264851504094195,2.5393541672591947e-06,14.0,0.0,10.0,0.00540028092908888,0.0,0.0038568004474944457,0.009257081376583329,0.0,Germany,DEU,bavaria,,,Linux-6.6.87.2-microsoft-standard-WSL2-x86_64-with-glibc2.41,3.9.25,3.2.0,8,11th Gen Intel(R) Core(TM) i7-1185G7 @ 3.00GHz,,,10.9545,49.9282,15.474822998046875,machine,N,1.0,0.0</t>
  </si>
  <si>
    <t>2025-12-30T13:07:55,ts_1,8227fabd-be2c-4326-8525-248280611f01,5b0fa12a-3dd7-45bb-9766-cc326314d9f1,1339.521375422,0.0034016261976455957,2.5394340546256345e-06,14.0,0.0,10.0,0.005208909154617755,0.0,0.0037204154224805457,0.008929324577098295,0.0,Germany,DEU,bavaria,Linux-6.6.87.2-microsoft-standard-WSL2-x86_64-with-glibc2.41,3.9.25,3.2.0,8,11th Gen Intel(R) Core(TM) i7-1185G7 @ 3.00GHz,10.9545,49.9282,15.474822998046875,machine,N,1.0,0.0,,</t>
  </si>
  <si>
    <t>2025-12-30T13:34:41,ts_1,0aaa510a-4f5f-40ee-8f78-01e5e92901ff,5b0fa12a-3dd7-45bb-9766-cc326314d9f1,1360.6375470150006,0.0034551480647489856,2.539359634995354e-06,14.0,0.0,10.0,0.005290937715521104,0.0,0.003778882640822207,0.009069820356343314,0.0,Germany,DEU,bavaria,,,Linux-6.6.87.2-microsoft-standard-WSL2-x86_64-with-glibc2.41,3.9.25,3.2.0,8,11th Gen Intel(R) Core(TM) i7-1185G7 @ 3.00GHz,,,10.9545,49.9282,15.474822998046875,machine,N,1.0,0.0</t>
  </si>
  <si>
    <t>2025-12-30T14:47:09,ts_1,a250ebaa-a7e1-4956-8156-33946a5a0e74,5b0fa12a-3dd7-45bb-9766-cc326314d9f1,699.1366642310004,0.0017754927930691486,2.5395503968055544e-06,14.0,0.0,10.0,0.0027188150260172134,0.0,0.001941882685149994,0.004660697711167209,0.0,Germany,DEU,bavaria,,,Linux-6.6.87.2-microsoft-standard-WSL2-x86_64-with-glibc2.41,3.9.25,3.2.0,8,11th Gen Intel(R) Core(TM) i7-1185G7 @ 3.00GHz,,,10.9545,49.9282,15.474822998046875,machine,N,1.0,0.0</t>
  </si>
  <si>
    <t>2025-12-30T15:01:56,ts_1,8716e924-037d-4369-8f6e-843bff29ca2c,5b0fa12a-3dd7-45bb-9766-cc326314d9f1,722.7954418850004,0.0018348871457943422,2.5385981143006157e-06,14.0,0.0,10.0,0.0028108096526377625,0.0,0.002005799208877771,0.0048166088615155325,0.0,Germany,DEU,bavaria,Linux-6.6.87.2-microsoft-standard-WSL2-x86_64-with-glibc2.41,3.9.25,3.2.0,8,11th Gen Intel(R) Core(TM) i7-1185G7 @ 3.00GHz,10.9545,49.9282,15.474822998046875,machine,N,1.0,0.0,,</t>
  </si>
  <si>
    <t>2025-12-30T15:34:10,ts_1,8b328090-c782-4404-88af-8147aa27bafa,5b0fa12a-3dd7-45bb-9766-cc326314d9f1,711.5498280850006,0.0018070220655500623,2.5395580101724065e-06,14.0,0.0,10.0,0.0027670785707016345,0.0,0.00197638399800833,0.0047434625687099675,0.0,Germany,DEU,bavaria,,,Linux-6.6.87.2-microsoft-standard-WSL2-x86_64-with-glibc2.41,3.9.25,3.2.0,8,11th Gen Intel(R) Core(TM) i7-1185G7 @ 3.00GHz,,,10.9545,49.9282,15.474822998046875,machine,N,1.0,0.0</t>
  </si>
  <si>
    <t>2025-12-30T16:03:54,ts_1,d12a7434-358b-4eba-93a8-3fb401f1d9c7,5b0fa12a-3dd7-45bb-9766-cc326314d9f1,636.5820747010002,0.0016166504023702615,2.539578895823598e-06,14.0,0.0,10.0,0.0024755454306333476,0.0,0.0017681883989250258,0.004243733829558371,0.0,Germany,DEU,bavaria,,,Linux-6.6.87.2-microsoft-standard-WSL2-x86_64-with-glibc2.41,3.9.25,3.2.0,8,11th Gen Intel(R) Core(TM) i7-1185G7 @ 3.00GHz,,,10.9545,49.9282,15.474822998046875,machine,N,1.0,0.0</t>
  </si>
  <si>
    <t>2025-12-30T16:16:28,ts_1,f8cf13e7-65c5-4e0b-a6a3-a579e1772da5,5b0fa12a-3dd7-45bb-9766-cc326314d9f1,654.070040087001,0.001661064181374348,2.539581512024923e-06,14.0,0.0,10.0,0.0025435554796788733,0.0,0.0018167652484333402,0.004360320728112214,0.0,Germany,DEU,bavaria,Linux-6.6.87.2-microsoft-standard-WSL2-x86_64-with-glibc2.41,3.9.25,3.2.0,8,11th Gen Intel(R) Core(TM) i7-1185G7 @ 3.00GHz,10.9545,49.9282,15.474822998046875,machine,N,1.0,0.0,,</t>
  </si>
  <si>
    <t>2025-12-30T16:27:49,ts_1,3ee1d2d8-95fb-455e-8059-21d5a686038e,5b0fa12a-3dd7-45bb-9766-cc326314d9f1,649.0520439790016,0.001648320073405421,2.539580745020731e-06,14.0,0.0,10.0,0.002524040755176088,0.0,0.0018028264804333656,0.004326867235609453,0.0,Germany,DEU,bavaria,,,Linux-6.6.87.2-microsoft-standard-WSL2-x86_64-with-glibc2.41,3.9.25,3.2.0,8,11th Gen Intel(R) Core(TM) i7-1185G7 @ 3.00GHz,,,10.9545,49.9282,15.474822998046875,machine,N,1.0,0.0</t>
  </si>
  <si>
    <t>2025-12-30T16:29:09,lexrank,ef501bc2-f1ac-494d-b90f-8b7384142e11,5b0fa12a-3dd7-45bb-9766-cc326314d9f1,9.192628127999342,2.334510602805067e-05,2.539546439058602e-06,14.0,0.0,10.0,3.57482382288961e-05,0.0,2.5533048102776473e-05,6.128128633167258e-05,0.0,Germany,DEU,bavaria,Linux-6.6.87.2-microsoft-standard-WSL2-x86_64-with-glibc2.41,3.9.25,3.2.0,8,11th Gen Intel(R) Core(TM) i7-1185G7 @ 3.00GHz,10.9545,49.9282,15.474822998046875,machine,N,1.0,0.0,,</t>
  </si>
  <si>
    <t>2025-12-30T16:31:00,lexrank,41b4c48e-4481-4950-84c9-0ec24575da06,5b0fa12a-3dd7-45bb-9766-cc326314d9f1,7.947043347001454,2.0181644644674347e-05,2.5395161147937116e-06,14.0,0.0,10.0,3.090421546333649e-05,0.0,2.2072932836110543e-05,5.2977148299447034e-05,0.0,Germany,DEU,bavaria,,,Linux-6.6.87.2-microsoft-standard-WSL2-x86_64-with-glibc2.41,3.9.25,3.2.0,8,11th Gen Intel(R) Core(TM) i7-1185G7 @ 3.00GHz,,,10.9545,49.9282,15.474822998046875,machine,N,1.0,0.0</t>
  </si>
  <si>
    <t>2025-12-30T16:31:51,lexrank,8a3769ca-5448-4d2c-a414-e81a6828eca1,5b0fa12a-3dd7-45bb-9766-cc326314d9f1,7.907659756001522,2.008178650794539e-05,2.5395359850560477e-06,14.0,0.0,10.0,3.075121591888698e-05,0.0,2.196380313333874e-05,5.2715019052225725e-05,0.0,Germany,DEU,bavaria,Linux-6.6.87.2-microsoft-standard-WSL2-x86_64-with-glibc2.41,3.9.25,3.2.0,8,11th Gen Intel(R) Core(TM) i7-1185G7 @ 3.00GHz,10.9545,49.9282,15.474822998046875,machine,N,1.0,0.0,,</t>
  </si>
  <si>
    <t>2025-12-30T16:37:03,bert,b480fcdf-c508-4c4f-ba10-2aa548be60aa,5b0fa12a-3dd7-45bb-9766-cc326314d9f1,269.7300316539986,0.0006849998575882638,2.5395757876414764e-06,14.0,0.0,10.0,0.0010489276410822175,0.0,0.0007492082234361281,0.0017981358645183456,0.0,Germany,DEU,bavaria,,,Linux-6.6.87.2-microsoft-standard-WSL2-x86_64-with-glibc2.41,3.9.25,3.2.0,8,11th Gen Intel(R) Core(TM) i7-1185G7 @ 3.00GHz,,,10.9545,49.9282,15.474822998046875,machine,N,1.0,0.0</t>
  </si>
  <si>
    <t>2025-12-30T16:44:00,bert,5c854c68-4839-452d-a465-48227d4d8790,5b0fa12a-3dd7-45bb-9766-cc326314d9f1,293.81607735299986,0.0007461623488011551,2.5395558865374556e-06,14.0,0.0,10.0,0.001142588375522256,0.0,0.0008161000318833229,0.0019586884074055786,0.0,Germany,DEU,bavaria,Linux-6.6.87.2-microsoft-standard-WSL2-x86_64-with-glibc2.41,3.9.25,3.2.0,8,11th Gen Intel(R) Core(TM) i7-1185G7 @ 3.00GHz,10.9545,49.9282,15.474822998046875,machine,N,1.0,0.0,,</t>
  </si>
  <si>
    <t>2025-12-30T16:49:34,bert,365d1723-ba6d-4dda-83e2-821d09b292a2,5b0fa12a-3dd7-45bb-9766-cc326314d9f1,301.59832858700247,0.0007659260365865529,2.539556635392975e-06,14.0,0.0,10.0,0.001172850472570036,0.0,0.0008377179395222408,0.002010568412092277,0.0,Germany,DEU,bavaria,,,Linux-6.6.87.2-microsoft-standard-WSL2-x86_64-with-glibc2.41,3.9.25,3.2.0,8,11th Gen Intel(R) Core(TM) i7-1185G7 @ 3.00GHz,,,10.9545,49.9282,15.474822998046875,machine,N,1.0,0.0</t>
  </si>
  <si>
    <t>2025-12-30T18:15:07,mlongt5,f4cb8f24-4832-4c2b-8c51-e496a0439ddc,5b0fa12a-3dd7-45bb-9766-cc326314d9f1,4959.000392933998,0.012593781266851095,2.5395806148343478e-06,14.0,0.0,10.0,0.019284618630927154,0.0,0.013774263812572215,0.033058882443499395,0.0,Germany,DEU,bavaria,Linux-6.6.87.2-microsoft-standard-WSL2-x86_64-with-glibc2.41,3.9.25,3.2.0,8,11th Gen Intel(R) Core(TM) i7-1185G7 @ 3.00GHz,10.9545,49.9282,15.474822998046875,machine,N,1.0,0.0,,</t>
  </si>
  <si>
    <t>2025-12-30T19:49:36,mlongt5,07fa5e5e-9c98-45c5-a8b2-21f8993998a6,5b0fa12a-3dd7-45bb-9766-cc326314d9f1,4880.653688080001,0.01239481445902045,2.539580812564565e-06,14.0,0.0,10.0,0.018979937505915805,0.0,0.013556653802708566,0.03253659130862436,0.0,Germany,DEU,bavaria,,,Linux-6.6.87.2-microsoft-standard-WSL2-x86_64-with-glibc2.41,3.9.25,3.2.0,8,11th Gen Intel(R) Core(TM) i7-1185G7 @ 3.00GHz,,,10.9545,49.9282,15.474822998046875,machine,N,1.0,0.0</t>
  </si>
  <si>
    <t>2025-12-30T21:23:08,mlongt5,4d190853-c4df-4481-87ae-eeacbb249ab1,5b0fa12a-3dd7-45bb-9766-cc326314d9f1,4851.547832018005,0.00012734425881929943,2.6248171352425994e-08,14.0,0.0,10.0,0.018866773110721807,0.0,0.013475816764733323,0.03234258987545511,0.0,Canada,CAN,quebec,Linux-6.6.87.2-microsoft-standard-WSL2-x86_64-with-glibc2.41,3.9.25,3.2.0,8,11th Gen Intel(R) Core(TM) i7-1185G7 @ 3.00GHz,-71.2,46.8,15.474822998046875,machine,N,1.0,0.0,,</t>
  </si>
  <si>
    <t>2025-12-31T05:42:50,mixtral,daaa8aaa-4981-4833-a5f4-2e512c2cd3fa,5b0fa12a-3dd7-45bb-9766-cc326314d9f1,20930.0384585,0.29234189328328103,1.39675755428226e-05,112.0,0.0,20.0,0.6511327327088882,0.0,0.11626953342388911,0.7674022661327761,Germany,DEU,bavaria,,,Windows-11-10.0.26100-SP0,3.13.0,3.0.4,8,11th Gen Intel(R) Core(TM) i7-1185G7 @ 3.00GHz,,,10.9545,49.9282,31.71001434326172,machine,N,1.0</t>
  </si>
  <si>
    <t>2025-12-31T14:37:05,mixtral,f2a52ffd-a55c-4c0f-9a94-91e89ec5ef66,5b0fa12a-3dd7-45bb-9766-cc326314d9f1,21157.906229700005,0.29552403939021266,1.3967546513434134e-05,112.0,0.0,20.0,0.6582204687831046,0.0,0.1175349830877784,0.7757554518708825,Germany,DEU,bavaria,,,Windows-11-10.0.26100-SP0,3.13.0,3.0.4,8,11th Gen Intel(R) Core(TM) i7-1185G7 @ 3.00GHz,,,10.9545,49.9282,31.71001434326172,machine,N,1.0</t>
  </si>
  <si>
    <t>2025-12-31T22:41:47,mixtral,59add0c1-adb9-46d1-bfc6-1eaf929fc045,5b0fa12a-3dd7-45bb-9766-cc326314d9f1,20817.127135899995,0.2907652184761778,1.3967595844420875e-05,112.0,0.0,20.0,0.6476213371910935,0.0,0.11564213170555465,0.7632634688966473,Germany,DEU,bavaria,,,Windows-11-10.0.26100-SP0,3.13.0,3.0.4,8,11th Gen Intel(R) Core(TM) i7-1185G7 @ 3.00GHz,,,10.9545,49.9282,31.71001434326172,machine,N,1.0</t>
  </si>
  <si>
    <t>2026-01-01T11:09:45,mlongt5-emails,0eb9113c-ad38-44f2-bfd8-c4d8d07776dd,5b0fa12a-3dd7-45bb-9766-cc326314d9f1,358.263671061,0.0009098357312670117,2.539570167894857e-06,14.0,0.0,10.0,0.0013932161294644444,0.0,0.0009951175921972225,0.002388333721661666,0.0,Germany,DEU,bavaria,,,Linux-6.6.87.2-microsoft-standard-WSL2-x86_64-with-glibc2.35,3.11.9,3.2.0,8,11th Gen Intel(R) Core(TM) i7-1185G7 @ 3.00GHz,,,10.9545,49.9282,15.474822998046875,machine,N,1.0,0.0</t>
  </si>
  <si>
    <t>2026-01-01T11:18:41,mlongt5-emails,4abfdd6e-b186-452c-96e2-cd67198b21ad,5b0fa12a-3dd7-45bb-9766-cc326314d9f1,341.122518603,0.0008663059182151244,2.5395741147869962e-06,14.0,0.0,10.0,0.0013265605500544463,0.0,0.000947506698180556,0.002274067248235003,0.0,Germany,DEU,bavaria,Linux-6.6.87.2-microsoft-standard-WSL2-x86_64-with-glibc2.35,3.11.9,3.2.0,8,11th Gen Intel(R) Core(TM) i7-1185G7 @ 3.00GHz,10.9545,49.9282,15.474822998046875,machine,N,1.0,0.0,,</t>
  </si>
  <si>
    <t>2026-01-01T11:47:57,mlongt5-emails,7de90ca9-de06-4bfd-81ff-923c95cb17ba,5b0fa12a-3dd7-45bb-9766-cc326314d9f1,327.31678210699965,0.0008312491668257408,2.5395861509905895e-06,14.0,0.0,10.0,0.001272875661190005,0.0,0.0009091670394944433,0.0021820427006844488,0.0,Germany,DEU,bavaria,,,Linux-6.6.87.2-microsoft-standard-WSL2-x86_64-with-glibc2.35,3.11.9,3.2.0,8,11th Gen Intel(R) Core(TM) i7-1185G7 @ 3.00GHz,,,10.9545,49.9282,15.474822998046875,machine,N,1.0,0.0</t>
  </si>
  <si>
    <t>2026-01-01T12:13:14,mlongt5-news-en,60007a0c-45e6-4f4c-9971-8bc7fb00c574,5b0fa12a-3dd7-45bb-9766-cc326314d9f1,207.41007624299982,0.0005267374228535983,2.539594181704448e-06,14.0,0.0,10.0,0.0008065828086749993,0.0,0.0005761115681555516,0.0013826943768305506,0.0,Germany,DEU,bavaria,Linux-6.6.87.2-microsoft-standard-WSL2-x86_64-with-glibc2.35,3.11.9,3.2.0,8,11th Gen Intel(R) Core(TM) i7-1185G7 @ 3.00GHz,10.9545,49.9282,15.474822998046875,machine,N,1.0,0.0,,</t>
  </si>
  <si>
    <t>2026-01-01T12:19:38,mlongt5-news-en,df6fe64e-3079-473e-b47f-a60cccccd01e,5b0fa12a-3dd7-45bb-9766-cc326314d9f1,217.8438278930007,0.0005532339639196557,2.5395898027984982e-06,14.0,0.0,10.0,0.0008471570175405496,0.0,0.0006050912142999955,0.001452248231840545,0.0,Germany,DEU,bavaria,,,Linux-6.6.87.2-microsoft-standard-WSL2-x86_64-with-glibc2.35,3.11.9,3.2.0,8,11th Gen Intel(R) Core(TM) i7-1185G7 @ 3.00GHz,,,10.9545,49.9282,15.474822998046875,machine,N,1.0,0.0</t>
  </si>
  <si>
    <t>2026-01-01T13:43:03,mlongt5-news-en,0faed81f-8c31-40e8-b2e1-80b9da0c9492,5b0fa12a-3dd7-45bb-9766-cc326314d9f1,208.14954340300028,0.0005286151186019515,2.5395929770477316e-06,14.0,0.0,10.0,0.0008094581498733401,0.0,0.0005781652091027757,0.0013876233589761161,0.0,Germany,DEU,bavaria,Linux-6.6.87.2-microsoft-standard-WSL2-x86_64-with-glibc2.35,3.11.9,3.2.0,8,11th Gen Intel(R) Core(TM) i7-1185G7 @ 3.00GHz,10.9545,49.9282,15.474822998046875,machine,N,1.0,0.0,,</t>
  </si>
  <si>
    <t>2026-01-01T14:12:13,mlongt5-papers,9ff8b6d4-5f9e-458a-944d-c8cb06d3b9f4,5b0fa12a-3dd7-45bb-9766-cc326314d9f1,949.1576710500012,0.0024098568760294752,2.538942632538156e-06,14.0,0.0,10.0,0.0036909740010305308,0.0,0.0026349398355083186,0.00632591383653885,0.0,Germany,DEU,bavaria,,,Linux-6.6.87.2-microsoft-standard-WSL2-x86_64-with-glibc2.35,3.11.9,3.2.0,8,11th Gen Intel(R) Core(TM) i7-1185G7 @ 3.00GHz,,,10.9545,49.9282,15.474822998046875,machine,N,1.0,0.0</t>
  </si>
  <si>
    <t>2026-01-01T20:17:14,mlongt5-papers,c525b02e-d869-4de2-b95c-ffeb12e93503,5b0fa12a-3dd7-45bb-9766-cc326314d9f1,1115.0726889619982,2.926132088313848e-05,2.624162637359304e-08,14.0,0.0,10.0,0.0043362209492544415,0.0,0.0030954992500861014,0.007431720199340543,0.0,Canada,CAN,quebec,Linux-6.6.87.2-microsoft-standard-WSL2-x86_64-with-glibc2.35,3.11.9,3.2.0,8,11th Gen Intel(R) Core(TM) i7-1185G7 @ 3.00GHz,-71.2,46.8,15.474822998046875,machine,N,1.0,0.0,,</t>
  </si>
  <si>
    <t>2026-01-01T21:01:11,mlongt5-papers,970482ec-517e-452c-bf46-5f19908eba54,5b0fa12a-3dd7-45bb-9766-cc326314d9f1,1063.2839865740025,0.002699718425417227,2.5390379799812135e-06,14.0,0.0,10.0,0.004134889533199594,0.0,0.0029519156260528687,0.007086805159252465,0.0,Germany,DEU,bavaria,,,Linux-6.6.87.2-microsoft-standard-WSL2-x86_64-with-glibc2.35,3.11.9,3.2.0,8,11th Gen Intel(R) Core(TM) i7-1185G7 @ 3.00GHz,,,10.9545,49.9282,15.474822998046875,machine,N,1.0,0.0</t>
  </si>
  <si>
    <t>2026-01-01T21:11:08,mlongt5-school,32ed2728-81f2-4a13-bacc-abea07925254,5b0fa12a-3dd7-45bb-9766-cc326314d9f1,552.0539958580048,0.0014019820328430475,2.5395741057250765e-06,14.0,0.0,10.0,0.0021468321720495244,0.0,0.001533393665574961,0.0036802258376244846,0.0,Germany,DEU,bavaria,Linux-6.6.87.2-microsoft-standard-WSL2-x86_64-with-glibc2.35,3.11.9,3.2.0,8,11th Gen Intel(R) Core(TM) i7-1185G7 @ 3.00GHz,10.9545,49.9282,15.474822998046875,machine,N,1.0,0.0,,</t>
  </si>
  <si>
    <t>2026-01-01T22:49:32,mlongt5-school,3b732309-d64d-4cd9-bdd5-1257c1b78108,5b0fa12a-3dd7-45bb-9766-cc326314d9f1,510.38391148100345,0.001296163181563147,2.5395847173199745e-06,14.0,0.0,10.0,0.0019847887389633292,0.0,0.0014176608779500382,0.0034024496169133664,0.0,Germany,DEU,bavaria,,,Linux-6.6.87.2-microsoft-standard-WSL2-x86_64-with-glibc2.35,3.11.9,3.2.0,8,11th Gen Intel(R) Core(TM) i7-1185G7 @ 3.00GHz,,,10.9545,49.9282,15.474822998046875,machine,N,1.0,0.0</t>
  </si>
  <si>
    <t>2026-01-02T08:58:15,mlongt5-school,c5d2852a-b5fc-4364-9182-a231474bf8c6,5b0fa12a-3dd7-45bb-9766-cc326314d9f1,570.072730095,0.0014477430808941653,2.5395761004966954e-06,14.0,0.0,10.0,0.0022169046221194445,0.0,0.001583444717411112,0.0038003493395305558,0.0,Germany,DEU,bavaria,Linux-6.6.87.2-microsoft-standard-WSL2-x86_64-with-glibc2.35,3.11.9,3.2.0,8,11th Gen Intel(R) Core(TM) i7-1185G7 @ 3.00GHz,10.9545,49.9282,15.474822998046875,machine,N,1.0,0.0,,</t>
  </si>
  <si>
    <t>2026-01-02T09:05:54,mlongt5-web,f2c98b12-6865-4e67-9d1f-3aee4b7ae3e2,5b0fa12a-3dd7-45bb-9766-cc326314d9f1,211.43297098300002,0.0005369519577035755,2.539584792320534e-06,14.0,0.0,10.0,0.0008222244732838898,0.0,0.0005872832251111113,0.0014095076983950008,0.0,Germany,DEU,bavaria,Linux-6.6.87.2-microsoft-standard-WSL2-x86_64-with-glibc2.35,3.11.9,3.2.0,8,11th Gen Intel(R) Core(TM) i7-1185G7 @ 3.00GHz,10.9545,49.9282,15.474822998046875,machine,N,1.0,0.0,,</t>
  </si>
  <si>
    <t>2026-01-02T09:23:58,mlongt5-web,c46e96e4-72fd-4b04-9d35-48274472aaab,5b0fa12a-3dd7-45bb-9766-cc326314d9f1,179.567734923,0.0004560289216397355,2.5395927716930004e-06,14.0,0.0,10.0,0.0006983080169450038,0.0,0.0004987753841305587,0.0011970834010755623,0.0,Germany,DEU,bavaria,,,Linux-6.6.87.2-microsoft-standard-WSL2-x86_64-with-glibc2.35,3.11.9,3.2.0,8,11th Gen Intel(R) Core(TM) i7-1185G7 @ 3.00GHz,,,10.9545,49.9282,15.474822998046875,machine,N,1.0,0.0</t>
  </si>
  <si>
    <t>2026-01-02T09:30:12,mlongt5-web,fa68576f-b685-4741-88e9-f7b7725044cf,5b0fa12a-3dd7-45bb-9766-cc326314d9f1,184.66986139900018,0.00046898570444346206,2.539589843684158e-06,14.0,0.0,10.0,0.0007181486546616678,0.0,0.000512946513847223,0.001231095168508891,0.0,Germany,DEU,bavaria,Linux-6.6.87.2-microsoft-standard-WSL2-x86_64-with-glibc2.35,3.11.9,3.2.0,8,11th Gen Intel(R) Core(TM) i7-1185G7 @ 3.00GHz,10.9545,49.9282,15.474822998046875,machine,N,1.0,0.0,,</t>
  </si>
  <si>
    <t>2026-01-02T11:12:25,mistralnemo-email-school-web,b75077ff-fd3d-47bb-8c42-fab47ad6c60f,5b0fa12a-3dd7-45bb-9766-cc326314d9f1,1476.1873201870003,0.00374892136575979,2.5395973224352615e-06,14.0,0.0,10.0,0.00574063279063945,0.0,0.004100347300605571,0.00984098009124502,0.0,Germany,DEU,bavaria,,,Linux-6.6.87.2-microsoft-standard-WSL2-x86_64-with-glibc2.39,3.12.3,3.2.0,8,11th Gen Intel(R) Core(TM) i7-1185G7 @ 3.00GHz,,,10.9545,49.9282,15.474822998046875,machine,N,1.0,0.0</t>
  </si>
  <si>
    <t>2026-01-02T12:40:20,mistralnemo-email-school-web,999b719f-7bc5-47f1-b1d2-068bfc860197,5b0fa12a-3dd7-45bb-9766-cc326314d9f1,1450.017248094,0.0036824627098201684,2.539599245912864e-06,14.0,0.0,10.0,0.005638865554217738,0.0,0.004027659474841628,0.009666525029059373,0.0,Germany,DEU,bavaria,Linux-6.6.87.2-microsoft-standard-WSL2-x86_64-with-glibc2.39,3.12.3,3.2.0,8,11th Gen Intel(R) Core(TM) i7-1185G7 @ 3.00GHz,10.9545,49.9282,15.474822998046875,machine,N,1.0,0.0,,</t>
  </si>
  <si>
    <t>2026-01-02T13:27:32,mistralnemo-email-school-web,531d6796-d893-429c-ba75-39d729a895bd,5b0fa12a-3dd7-45bb-9766-cc326314d9f1,1456.047702291,0.003697772110883784,2.53959544393056e-06,14.0,0.0,10.0,0.00566231095971724,0.0,0.00404440149830555,0.009706712458022796,0.0,Germany,DEU,bavaria,,,Linux-6.6.87.2-microsoft-standard-WSL2-x86_64-with-glibc2.39,3.12.3,3.2.0,8,11th Gen Intel(R) Core(TM) i7-1185G7 @ 3.00GHz,,,10.9545,49.9282,15.474822998046875,machine,N,1.0,0.0</t>
  </si>
  <si>
    <t>2026-01-02T14:44:44,mistralnemo-email-school-web,6d5582b5-1eb6-4f2e-83aa-8e4c18810fca,5b0fa12a-3dd7-45bb-9766-cc326314d9f1,3068.062869685,0.007791627980880801,2.5395920200555646e-06,14.0,0.0,10.0,0.011931148957902073,0.0,0.008522002324105535,0.020453151282007614,0.0,Germany,DEU,bavaria,Linux-6.6.87.2-microsoft-standard-WSL2-x86_64-with-glibc2.39,3.12.3,3.2.0,8,11th Gen Intel(R) Core(TM) i7-1185G7 @ 3.00GHz,10.9545,49.9282,15.474822998046875,machine,N,1.0,0.0,,</t>
  </si>
  <si>
    <t>2026-01-02T17:53:16,mistralnemo-email-school-web,925a37bd-b060-47fc-938e-b19366d52549,5b0fa12a-3dd7-45bb-9766-cc326314d9f1,3105.665835292002,0.007887123027453856,2.5395916514348008e-06,14.0,0.0,10.0,0.012077370202492806,0.0,0.008626457143494484,0.020703827345987285,0.0,Germany,DEU,bavaria,,,Linux-6.6.87.2-microsoft-standard-WSL2-x86_64-with-glibc2.39,3.12.3,3.2.0,8,11th Gen Intel(R) Core(TM) i7-1185G7 @ 3.00GHz,,,10.9545,49.9282,15.474822998046875,machine,N,1.0,0.0</t>
  </si>
  <si>
    <t>2026-01-02T18:51:02,mistralnemo-email-school-web,ad6090d8-1982-48f1-8fd1-c141e76d0b14,5b0fa12a-3dd7-45bb-9766-cc326314d9f1,2939.1632202809997,0.007464286200426795,2.539595674347466e-06,14.0,0.0,10.0,0.01142988973355061,0.0,0.008163984004280589,0.019593873737831197,0.0,Germany,DEU,bavaria,Linux-6.6.87.2-microsoft-standard-WSL2-x86_64-with-glibc2.39,3.12.3,3.2.0,8,11th Gen Intel(R) Core(TM) i7-1185G7 @ 3.00GHz,10.9545,49.9282,15.474822998046875,machine,N,1.0,0.0,,</t>
  </si>
  <si>
    <t>2026-01-02T20:15:00,mistralnemo-email-school-web,a3ca1779-0302-455f-8486-9c30aeb0923c,5b0fa12a-3dd7-45bb-9766-cc326314d9f1,2383.575092387997,0.006053313824135159,2.5395943444226106e-06,14.0,0.0,10.0,0.009269304625583357,0.0,0.006620743475572069,0.015890048101155425,0.0,Germany,DEU,bavaria,,,Linux-6.6.87.2-microsoft-standard-WSL2-x86_64-with-glibc2.39,3.12.3,3.2.0,8,11th Gen Intel(R) Core(TM) i7-1185G7 @ 3.00GHz,,,10.9545,49.9282,15.474822998046875,machine,N,1.0,0.0</t>
  </si>
  <si>
    <t>2026-01-02T23:21:28,mistralnemo-email-school-web,12d87904-4c62-4fd0-b309-a0e2c2d924a2,5b0fa12a-3dd7-45bb-9766-cc326314d9f1,2312.616767088999,0.005873118720452439,2.5395987800629905e-06,14.0,0.0,10.0,0.008993365226269014,0.0,0.006423667771374879,0.015417032997643888,0.0,Germany,DEU,bavaria,Linux-6.6.87.2-microsoft-standard-WSL2-x86_64-with-glibc2.39,3.12.3,3.2.0,8,11th Gen Intel(R) Core(TM) i7-1185G7 @ 3.00GHz,10.9545,49.9282,15.474822998046875,machine,N,1.0,0.0,,</t>
  </si>
  <si>
    <t>2026-01-03T08:33:12,mistralnemo-email-school-web,63537911-e025-4667-a723-fc0d01098940,5b0fa12a-3dd7-45bb-9766-cc326314d9f1,2371.2413790639985,0.006021986667682654,2.5395924349379044e-06,14.0,0.0,10.0,0.009221332332808363,0.0,0.006586481468694869,0.015807813801503225,0.0,Germany,DEU,bavaria,,,Linux-6.6.87.2-microsoft-standard-WSL2-x86_64-with-glibc2.39,3.12.3,3.2.0,8,11th Gen Intel(R) Core(TM) i7-1185G7 @ 3.00GHz,,,10.9545,49.9282,15.474822998046875,machine,N,1.0,0.0</t>
  </si>
  <si>
    <t>2026-01-03T09:13:38,mistralnemo-news-papers,d6e7330b-b05c-4e9e-bd8d-23f426ad2ae1,5b0fa12a-3dd7-45bb-9766-cc326314d9f1,694.1009627540043,0.0017627351758831027,2.5395947714710663e-06,14.0,0.0,10.0,0.0026992362264505534,0.0,0.0019279725302973223,0.004627208756747874,0.0,Germany,DEU,bavaria,Linux-6.6.87.2-microsoft-standard-WSL2-x86_64-with-glibc2.39,3.12.3,3.2.0,8,11th Gen Intel(R) Core(TM) i7-1185G7 @ 3.00GHz,10.9545,49.9282,15.474822998046875,machine,N,1.0,0.0,,</t>
  </si>
  <si>
    <t>2026-01-03T09:27:56,mistralnemo-news-papers,9528eed0-f996-47de-8a59-395655071023,5b0fa12a-3dd7-45bb-9766-cc326314d9f1,665.2517169959901,0.001689469632703531,2.539594546756674e-06,14.0,0.0,10.0,0.0025870458292118316,0.0,0.0018478396746693351,0.004434885503881168,0.0,Germany,DEU,bavaria,,,Linux-6.6.87.2-microsoft-standard-WSL2-x86_64-with-glibc2.39,3.12.3,3.2.0,8,11th Gen Intel(R) Core(TM) i7-1185G7 @ 3.00GHz,,,10.9545,49.9282,15.474822998046875,machine,N,1.0,0.0</t>
  </si>
  <si>
    <t>2026-01-03T10:21:11,mistralnemo-news-papers,7cb59753-83af-4bfb-bdfe-753ed84653a0,5b0fa12a-3dd7-45bb-9766-cc326314d9f1,688.6194741440122,0.0017488190028499228,2.539601432305978e-06,14.0,0.0,10.0,0.0026779232930721547,0.0,0.0019127552811499808,0.004590678574222136,0.0,Germany,DEU,bavaria,Linux-6.6.87.2-microsoft-standard-WSL2-x86_64-with-glibc2.39,3.12.3,3.2.0,8,11th Gen Intel(R) Core(TM) i7-1185G7 @ 3.00GHz,10.9545,49.9282,15.474822998046875,machine,N,1.0,0.0,,</t>
  </si>
  <si>
    <t>2026-01-03T11:57:06,mistralnemo-news-papers,d4568c7c-6ed9-41f7-8be1-9504bf9afdc8,5b0fa12a-3dd7-45bb-9766-cc326314d9f1,3660.5975333209935,0.009296438527328294,2.5395959109698447e-06,14.0,0.0,10.0,0.014235415092118536,0.0,0.010167888562766085,0.024403303654884616,0.0,Germany,DEU,bavaria,,,Linux-6.6.87.2-microsoft-standard-WSL2-x86_64-with-glibc2.39,3.12.3,3.2.0,8,11th Gen Intel(R) Core(TM) i7-1185G7 @ 3.00GHz,,,10.9545,49.9282,15.474822998046875,machine,N,1.0,0.0</t>
  </si>
  <si>
    <t>2026-01-03T13:22:34,mistralnemo-news-papers,1fb8340d-2232-43f6-a433-dc475087498f,5b0fa12a-3dd7-45bb-9766-cc326314d9f1,3801.9815106280003,0.009655494252394332,2.539595267731711e-06,14.0,0.0,10.0,0.014785232831421816,0.0,0.010560597992555914,0.025345830823977768,0.0,Germany,DEU,bavaria,Linux-6.6.87.2-microsoft-standard-WSL2-x86_64-with-glibc2.39,3.12.3,3.2.0,8,11th Gen Intel(R) Core(TM) i7-1185G7 @ 3.00GHz,10.9545,49.9282,15.474822998046875,machine,N,1.0,0.0,,</t>
  </si>
  <si>
    <t>2026-01-03T15:27:30,mistralnemo-news-papers,d7d020e2-1cb7-415a-9aac-879f5fe4c3af,5b0fa12a-3dd7-45bb-9766-cc326314d9f1,4003.148932838987,0.010166372024161187,2.5395937534982776e-06,14.0,0.0,10.0,0.015567536896570531,0.0,0.011119356459936053,0.026686893356506595,0.0,Germany,DEU,bavaria,,,Linux-6.6.87.2-microsoft-standard-WSL2-x86_64-with-glibc2.39,3.12.3,3.2.0,8,11th Gen Intel(R) Core(TM) i7-1185G7 @ 3.00GHz,,,10.9545,49.9282,15.474822998046875,machine,N,1.0,0.0</t>
  </si>
  <si>
    <t>2026-01-03T17:29:01,lexrank-emails,f330abd3-1c47-422d-80bb-9e82a23e7ce1,5b0fa12a-3dd7-45bb-9766-cc326314d9f1,0.2575761360058095,6.531541200728017e-07,2.5357710935537524e-06,14.0,0.0,10.0,1.000847042200298e-06,0.0,7.136932388675632e-07,1.714540281067861e-06,0.0,Germany,DEU,bavaria,Linux-6.6.87.2-microsoft-standard-WSL2-x86_64-with-glibc2.41,3.9.25,3.2.0,8,11th Gen Intel(R) Core(TM) i7-1185G7 @ 3.00GHz,10.9545,49.9282,15.474822998046877,machine,N,1.0,0.0,,</t>
  </si>
  <si>
    <t>2026-01-03T17:29:18,lexrank-emails,299c2e3f-a477-4670-b780-38289640bdb5,5b0fa12a-3dd7-45bb-9766-cc326314d9f1,0.2556252150097862,6.699289893284998e-09,2.620746898160468e-08,14.0,0.0,10.0,9.932969666826667e-07,0.0,7.081726361421817e-07,1.7014696028248485e-06,0.0,Canada,CAN,quebec,Linux-6.6.87.2-microsoft-standard-WSL2-x86_64-with-glibc2.41,3.9.25,3.2.0,8,11th Gen Intel(R) Core(TM) i7-1185G7 @ 3.00GHz,-71.2,46.8,15.474822998046875,machine,N,1.0,0.0,,</t>
  </si>
  <si>
    <t>2026-01-03T17:29:27,lexrank-emails,b3403e35-a774-4ad5-bca2-c1164f466b44,5b0fa12a-3dd7-45bb-9766-cc326314d9f1,0.2547155499923974,6.455501767098617e-07,2.5343964148601435e-06,14.0,0.0,10.0,9.893388050032728e-07,0.0,7.052409999838953e-07,1.694579804987168e-06,0.0,Germany,DEU,bavaria,Linux-6.6.87.2-microsoft-standard-WSL2-x86_64-with-glibc2.41,3.9.25,3.2.0,8,11th Gen Intel(R) Core(TM) i7-1185G7 @ 3.00GHz,10.9545,49.9282,15.474822998046877,machine,N,1.0,0.0,,</t>
  </si>
  <si>
    <t>2026-01-03T17:29:45,lexrank-news-EN,0c4049f3-0095-4f06-a7b5-df9bb60a9c9f,5b0fa12a-3dd7-45bb-9766-cc326314d9f1,0.17126664399984293,4.337024023612463e-07,2.532322653333734e-06,14.0,0.0,10.0,6.650612772419765e-07,0.0,4.734146444308054e-07,1.138475921672782e-06,0.0,Germany,DEU,bavaria,Linux-6.6.87.2-microsoft-standard-WSL2-x86_64-with-glibc2.41,3.9.25,3.2.0,8,11th Gen Intel(R) Core(TM) i7-1185G7 @ 3.00GHz,10.9545,49.9282,15.474822998046875,machine,N,1.0,0.0,,</t>
  </si>
  <si>
    <t>2026-01-03T17:29:52,lexrank-news-EN,7858dad2-6e7d-4503-b8a7-a48bb38cc8f8,5b0fa12a-3dd7-45bb-9766-cc326314d9f1,0.1651677210029447,4.184381517294731e-07,2.5334136064153407e-06,14.0,0.0,10.0,6.41520860549968e-07,0.0,4.568861527837322e-07,1.0984070133337e-06,0.0,Germany,DEU,bavaria,Linux-6.6.87.2-microsoft-standard-WSL2-x86_64-with-glibc2.41,3.9.25,3.2.0,8,11th Gen Intel(R) Core(TM) i7-1185G7 @ 3.00GHz,10.9545,49.9282,15.474822998046877,machine,N,1.0,0.0,,</t>
  </si>
  <si>
    <t>2026-01-03T17:30:02,lexrank-news-EN,8bdae1d6-2739-4a8a-af0e-1ff035f0cf9a,5b0fa12a-3dd7-45bb-9766-cc326314d9f1,0.16475552300107665,4.309841518997132e-09,2.6159010881650187e-08,14.0,0.0,10.0,6.391806827903363e-07,0.0,4.554225444735494e-07,1.0946032272638857e-06,0.0,Canada,CAN,quebec,Linux-6.6.87.2-microsoft-standard-WSL2-x86_64-with-glibc2.41,3.9.25,3.2.0,8,11th Gen Intel(R) Core(TM) i7-1185G7 @ 3.00GHz,-71.2,46.8,15.474822998046875,machine,N,1.0,0.0,,</t>
  </si>
  <si>
    <t>2026-01-03T17:30:18,lexrank-papers-FR,096dcd3f-8f5f-4bae-8d1f-120aad83a08c,5b0fa12a-3dd7-45bb-9766-cc326314d9f1,1.529982041000039,3.884589353556222e-06,2.538977092186745e-06,14.0,0.0,10.0,5.949175571117344e-06,0.0,4.247935213910145e-06,1.0197110785027488e-05,0.0,Germany,DEU,bavaria,Linux-6.6.87.2-microsoft-standard-WSL2-x86_64-with-glibc2.41,3.9.25,3.2.0,8,11th Gen Intel(R) Core(TM) i7-1185G7 @ 3.00GHz,10.9545,49.9282,15.474822998046877,machine,N,1.0,0.0,,</t>
  </si>
  <si>
    <t>2026-01-03T17:30:28,lexrank-papers-FR,e8b3a802-4e34-45e2-afc4-017c36ac2d2d,5b0fa12a-3dd7-45bb-9766-cc326314d9f1,1.478925445000641,3.7551530548110453e-06,2.539109099451202e-06,14.0,0.0,10.0,5.750830505017398e-06,0.0,4.1065078722264544e-06,9.857338377243852e-06,0.0,Germany,DEU,bavaria,Linux-6.6.87.2-microsoft-standard-WSL2-x86_64-with-glibc2.41,3.9.25,3.2.0,8,11th Gen Intel(R) Core(TM) i7-1185G7 @ 3.00GHz,10.9545,49.9282,15.474822998046875,machine,N,1.0,0.0,,</t>
  </si>
  <si>
    <t>2026-01-03T17:30:37,lexrank-papers-FR,6ae86b83-63c6-4093-8707-e65c0dc17d3e,5b0fa12a-3dd7-45bb-9766-cc326314d9f1,1.535927652992541,3.89983057807112e-06,2.539071791873037e-06,14.0,0.0,10.0,5.972468180003085e-06,0.0,4.264651069428914e-06,1.0237119249431998e-05,0.0,Germany,DEU,bavaria,Linux-6.6.87.2-microsoft-standard-WSL2-x86_64-with-glibc2.41,3.9.25,3.2.0,8,11th Gen Intel(R) Core(TM) i7-1185G7 @ 3.00GHz,10.9545,49.9282,15.474822998046877,machine,N,1.0,0.0,,</t>
  </si>
  <si>
    <t>2026-01-03T17:30:59,lexrank-school-DE,b45c888e-9340-40df-b786-bf341965b2eb,5b0fa12a-3dd7-45bb-9766-cc326314d9f1,2.2828492789994925,5.796606718268223e-06,2.539198172911665e-06,14.0,0.0,10.0,8.876827392183864e-06,0.0,6.339360344443574e-06,1.5216187736627438e-05,0.0,Germany,DEU,bavaria,Linux-6.6.87.2-microsoft-standard-WSL2-x86_64-with-glibc2.41,3.9.25,3.2.0,8,11th Gen Intel(R) Core(TM) i7-1185G7 @ 3.00GHz,10.9545,49.9282,15.474822998046875,machine,N,1.0,0.0,,</t>
  </si>
  <si>
    <t>2026-01-03T17:31:09,lexrank-school-DE,f58aeeb6-5d89-4e87-85cc-510c1a76fa56,5b0fa12a-3dd7-45bb-9766-cc326314d9f1,2.298778498006868,5.83716346988099e-06,2.539245723301328e-06,14.0,0.0,10.0,8.938920958333054e-06,0.0,6.383728916666264e-06,1.5322649874999318e-05,0.0,Germany,DEU,bavaria,Linux-6.6.87.2-microsoft-standard-WSL2-x86_64-with-glibc2.41,3.9.25,3.2.0,8,11th Gen Intel(R) Core(TM) i7-1185G7 @ 3.00GHz,10.9545,49.9282,15.474822998046877,machine,N,1.0,0.0,,</t>
  </si>
  <si>
    <t>2026-01-03T17:31:22,lexrank-school-DE,fd51e1fd-882a-43b6-9532-746855e1f825,5b0fa12a-3dd7-45bb-9766-cc326314d9f1,2.277435723997769,5.782656017534362e-06,2.5391083298647804e-06,14.0,0.0,10.0,8.855565965544278e-06,0.0,6.324000952776664e-06,1.517956691832094e-05,0.0,Germany,DEU,bavaria,Linux-6.6.87.2-microsoft-standard-WSL2-x86_64-with-glibc2.41,3.9.25,3.2.0,8,11th Gen Intel(R) Core(TM) i7-1185G7 @ 3.00GHz,10.9545,49.9282,15.474822998046875,machine,N,1.0,0.0,,</t>
  </si>
  <si>
    <t>2026-01-03T17:31:32,lexrank-web-IT,fbc92fc3-026a-449a-8468-96ad51b73915,5b0fa12a-3dd7-45bb-9766-cc326314d9f1,0.4710712630039779,1.1949060886024975e-06,2.536571815021557e-06,14.0,0.0,10.0,1.8303501727576883e-06,0.0,1.306297913874409e-06,3.1366480866320974e-06,0.0,Germany,DEU,bavaria,Linux-6.6.87.2-microsoft-standard-WSL2-x86_64-with-glibc2.41,3.9.25,3.2.0,8,11th Gen Intel(R) Core(TM) i7-1185G7 @ 3.00GHz,10.9545,49.9282,15.474822998046877,machine,N,1.0,0.0,,</t>
  </si>
  <si>
    <t>2026-01-03T17:31:40,lexrank-web-IT,17b9b045-edf1-40b2-bfa8-e2b45e95c8e4,5b0fa12a-3dd7-45bb-9766-cc326314d9f1,0.4636754450039007,1.1763784827379592e-06,2.5370730656829646e-06,14.0,0.0,10.0,1.802136283909527e-06,0.0,1.2858765333577242e-06,3.088012817267251e-06,0.0,Germany,DEU,bavaria,Linux-6.6.87.2-microsoft-standard-WSL2-x86_64-with-glibc2.41,3.9.25,3.2.0,8,11th Gen Intel(R) Core(TM) i7-1185G7 @ 3.00GHz,10.9545,49.9282,15.474822998046875,machine,N,1.0,0.0,,</t>
  </si>
  <si>
    <t>2026-01-03T17:31:49,lexrank-web-IT,27f44adc-5bbb-47e0-8550-f69729fadd3b,5b0fa12a-3dd7-45bb-9766-cc326314d9f1,0.4856019470025785,1.2319110759496752e-06,2.5368742517482817e-06,14.0,0.0,10.0,1.8872232633131918e-06,0.0,1.3465635222221155e-06,3.233786785535307e-06,0.0,Germany,DEU,bavaria,,,Linux-6.6.87.2-microsoft-standard-WSL2-x86_64-with-glibc2.41,3.9.25,3.2.0,8,11th Gen Intel(R) Core(TM) i7-1185G7 @ 3.00GHz,,,10.9545,49.9282,15.474822998046875,machine,N,1.0,0.0</t>
  </si>
  <si>
    <t>Processing took: 437.324807597
[codecarbon INFO @ 07:04:19] Energy consumed for RAM : 0.001213 kWh. RAM Power : 10.0 W
[codecarbon INFO @ 07:04:19] Delta energy consumed for CPU with constant : 0.000008 kWh, power : 14.0 W
[codecarbon INFO @ 07:04:19] Energy consumed for All CPU : 0.001700 kWh
[codecarbon INFO @ 07:04:19] 0.002914 kWh of electricity and 0.000000 L of water were used since the beginning.</t>
  </si>
  <si>
    <t>Processing took: 416.886696551
[codecarbon INFO @ 07:12:27] Energy consumed for RAM : 0.001157 kWh. RAM Power : 10.0 W
[codecarbon INFO @ 07:12:27] Delta energy consumed for CPU with constant : 0.000045 kWh, power : 14.0 W
[codecarbon INFO @ 07:12:27] Energy consumed for All CPU : 0.001621 kWh
[codecarbon INFO @ 07:12:27] 0.002778 kWh of electricity and 0.000000 L of water were used since the beginning.</t>
  </si>
  <si>
    <t>Processing took: 425.452011092
[codecarbon INFO @ 07:19:51] Energy consumed for RAM : 0.001181 kWh. RAM Power : 10.0 W
[codecarbon INFO @ 07:19:51] Delta energy consumed for CPU with constant : 0.000020 kWh, power : 14.0 W
[codecarbon INFO @ 07:19:51] Energy consumed for All CPU : 0.001654 kWh
[codecarbon INFO @ 07:19:51] 0.002835 kWh of electricity and 0.000000 L of water were used since the beginning.</t>
  </si>
  <si>
    <t>Processing took: 192.78195699399998
[codecarbon INFO @ 07:24:34] Energy consumed for RAM : 0.000535 kWh. RAM Power : 10.0 W
[codecarbon INFO @ 07:24:34] Delta energy consumed for CPU with constant : 0.000049 kWh, power : 14.0 W
[codecarbon INFO @ 07:24:34] Energy consumed for All CPU : 0.000750 kWh
[codecarbon INFO @ 07:24:34] 0.001285 kWh of electricity and 0.000000 L of water were used since the beginning.</t>
  </si>
  <si>
    <t>Processing took: 192.70277221700007
[codecarbon INFO @ 07:28:49] Energy consumed for RAM : 0.000535 kWh. RAM Power : 10.0 W
[codecarbon INFO @ 07:28:49] Delta energy consumed for CPU with constant : 0.000049 kWh, power : 14.0 W
[codecarbon INFO @ 07:28:49] Energy consumed for All CPU : 0.000749 kWh
[codecarbon INFO @ 07:28:49] 0.001284 kWh of electricity and 0.000000 L of water were used since the beginning.</t>
  </si>
  <si>
    <t>Processing took: 189.53658045800012
[codecarbon INFO @ 07:34:53] Energy consumed for RAM : 0.000526 kWh. RAM Power : 10.0 W
[codecarbon INFO @ 07:34:53] Delta energy consumed for CPU with constant : 0.000036 kWh, power : 14.0 W
[codecarbon INFO @ 07:34:53] Energy consumed for All CPU : 0.000737 kWh
[codecarbon INFO @ 07:34:53] 0.001263 kWh of electricity and 0.000000 L of water were used since the beginning.</t>
  </si>
  <si>
    <t>Processing took: 14340.227351387
[codecarbon INFO @ 12:16:50] Energy consumed for RAM : 0.039832 kWh. RAM Power : 10.0 W
[codecarbon INFO @ 12:16:50] Delta energy consumed for CPU with constant : 0.000056 kWh, power : 14.0 W
[codecarbon INFO @ 12:16:50] Energy consumed for All CPU : 0.055766 kWh
[codecarbon INFO @ 12:16:50] 0.095598 kWh of electricity used since the beginning.</t>
  </si>
  <si>
    <t>Processing took: 14473.093366327004
[codecarbon INFO @ 21:47:29] Energy consumed for RAM : 0.040201 kWh. RAM Power : 10.0 W
[codecarbon INFO @ 21:47:29] Delta energy consumed for CPU with constant : 0.000048 kWh, power : 14.0 W
[codecarbon INFO @ 21:47:29] Energy consumed for All CPU : 0.056283 kWh
[codecarbon INFO @ 21:47:29] 0.096484 kWh of electricity used since the beginning.</t>
  </si>
  <si>
    <t>Processing took: 14418.711805997998
[codecarbon INFO @ 02:09:16] Energy consumed for RAM : 0.040050 kWh. RAM Power : 10.0 W
[codecarbon INFO @ 02:09:16] Delta energy consumed for CPU with constant : 0.000011 kWh, power : 14.0 W
[codecarbon INFO @ 02:09:16] Energy consumed for All CPU : 0.056072 kWh
[codecarbon INFO @ 02:09:16] 0.096122 kWh of electricity used since the beginning.</t>
  </si>
  <si>
    <t>Processing took: 1509.872246545001
[codecarbon INFO @ 23:28:50] Energy consumed for RAM : 0.004194 kWh. RAM Power : 10.0 W
[codecarbon INFO @ 23:28:50] Delta energy consumed for CPU with constant : 0.000038 kWh, power : 14.0 W
[codecarbon INFO @ 23:28:50] Energy consumed for All CPU : 0.005872 kWh
[codecarbon INFO @ 23:28:50] 0.010066 kWh of electricity and 0.000000 L of water were used since the beginning.</t>
  </si>
  <si>
    <t xml:space="preserve">Processing took: 1578.661282401
[codecarbon INFO @ 09:00:20] Energy consumed for RAM : 0.004385 kWh. RAM Power : 10.0 W
[codecarbon INFO @ 09:00:20] Delta energy consumed for CPU with constant : 0.000014 kWh, power : 14.0 W
[codecarbon INFO @ 09:00:20] Energy consumed for All CPU : 0.006139 kWh
[codecarbon INFO @ 09:00:20] 0.010524 kWh of electricity and 0.000000 L of water were used since the beginning.
</t>
  </si>
  <si>
    <t>Processing took: 1446.7191099390002
[codecarbon INFO @ 09:38:09] Energy consumed for RAM : 0.004018 kWh. RAM Power : 10.0 W
[codecarbon INFO @ 09:38:09] Delta energy consumed for CPU with constant : 0.000026 kWh, power : 14.0 W
[codecarbon INFO @ 09:38:09] Energy consumed for All CPU : 0.005626 kWh
[codecarbon INFO @ 09:38:09] 0.009644 kWh of electricity and 0.000000 L of water were used since the beginning.</t>
  </si>
  <si>
    <t>Processing took: 1744.5693192959989
[codecarbon INFO @ 12:14:05] Energy consumed for RAM : 0.004846 kWh. RAM Power : 10.0 W
[codecarbon INFO @ 12:14:05] Delta energy consumed for CPU with constant : 0.000018 kWh, power : 14.0 W
[codecarbon INFO @ 12:14:05] Energy consumed for All CPU : 0.006784 kWh
[codecarbon INFO @ 12:14:05] 0.011630 kWh of electricity and 0.000000 L of water were used since the beginning.</t>
  </si>
  <si>
    <t>Processing took: 1768.9426737560007
[codecarbon INFO @ 12:47:44] Energy consumed for RAM : 0.004913 kWh. RAM Power : 10.0 W
[codecarbon INFO @ 12:47:44] Delta energy consumed for CPU with constant : 0.000054 kWh, power : 14.0 W
[codecarbon INFO @ 12:47:44] Energy consumed for All CPU : 0.006879 kWh
[codecarbon INFO @ 12:47:44] 0.011793 kWh of electricity and 0.000000 L of water were used since the beginning.</t>
  </si>
  <si>
    <t>Processing took: 1801.3467229370017
[codecarbon INFO @ 13:18:33] Energy consumed for RAM : 0.005003 kWh. RAM Power : 10.0 W
[codecarbon INFO @ 13:18:33] Delta energy consumed for CPU with constant : 0.000005 kWh, power : 14.0 W
[codecarbon INFO @ 13:18:33] Energy consumed for All CPU : 0.007005 kWh
[codecarbon INFO @ 13:18:33] 0.012009 kWh of electricity and 0.000000 L of water were used since the beginning.</t>
  </si>
  <si>
    <t>Processing took: 45.5114806399979
[codecarbon INFO @ 14:22:47] Energy consumed for RAM : 0.000126 kWh. RAM Power : 10.0 W
[codecarbon INFO @ 14:22:47] Delta energy consumed for CPU with constant : 0.000002 kWh, power : 14.0 W
[codecarbon INFO @ 14:22:47] Energy consumed for All CPU : 0.000177 kWh
[codecarbon INFO @ 14:22:47] 0.000303 kWh of electricity and 0.000000 L of water were used since the beginning.</t>
  </si>
  <si>
    <t>Processing took: 45.32165760400312
[codecarbon INFO @ 14:24:10] Energy consumed for RAM : 0.000126 kWh. RAM Power : 10.0 W
[codecarbon INFO @ 14:24:10] Delta energy consumed for CPU with constant : 0.000001 kWh, power : 14.0 W
[codecarbon INFO @ 14:24:10] Energy consumed for All CPU : 0.000176 kWh
[codecarbon INFO @ 14:24:10] 0.000302 kWh of electricity and 0.000000 L of water were used since the beginning.</t>
  </si>
  <si>
    <t>Processing took: 44.90332083700196
[codecarbon INFO @ 14:26:02] Energy consumed for RAM : 0.000125 kWh. RAM Power : 10.0 W
[codecarbon INFO @ 14:26:02] Delta energy consumed for CPU with constant : 0.000058 kWh, power : 14.0 W
[codecarbon INFO @ 14:26:02] Energy consumed for All CPU : 0.000175 kWh
[codecarbon INFO @ 14:26:02] 0.000299 kWh of electricity and 0.000000 L of water were used since the beginning.</t>
  </si>
  <si>
    <t>Processing took: 38.61225798099986
[codecarbon INFO @ 14:31:44] Energy consumed for RAM : 0.000107 kWh. RAM Power : 10.0 W
[codecarbon INFO @ 14:31:44] Delta energy consumed for CPU with constant : 0.000033 kWh, power : 14.0 W
[codecarbon INFO @ 14:31:44] Energy consumed for All CPU : 0.000150 kWh
[codecarbon INFO @ 14:31:44] 0.000257 kWh of electricity and 0.000000 L of water were used since the beginning.</t>
  </si>
  <si>
    <t>Processing took: 38.196623840998654
[codecarbon INFO @ 14:34:05] Energy consumed for RAM : 0.000106 kWh. RAM Power : 10.0 W
[codecarbon INFO @ 14:34:05] Delta energy consumed for CPU with constant : 0.000032 kWh, power : 14.0 W
[codecarbon INFO @ 14:34:05] Energy consumed for All CPU : 0.000149 kWh
[codecarbon INFO @ 14:34:05] 0.000255 kWh of electricity and 0.000000 L of water were used since the beginning.</t>
  </si>
  <si>
    <t>Processing took: 38.389254058001825
[codecarbon INFO @ 14:35:31] Energy consumed for RAM : 0.000107 kWh. RAM Power : 10.0 W
[codecarbon INFO @ 14:35:31] Delta energy consumed for CPU with constant : 0.000033 kWh, power : 14.0 W
[codecarbon INFO @ 14:35:31] Energy consumed for All CPU : 0.000149 kWh
[codecarbon INFO @ 14:35:31] 0.000256 kWh of electricity and 0.000000 L of water were used since the beginning.</t>
  </si>
  <si>
    <t>Processing took: 686.3328221019983
[codecarbon INFO @ 15:55:42] Energy consumed for RAM : 0.001906 kWh. RAM Power : 10.0 W
[codecarbon INFO @ 15:55:42] Delta energy consumed for CPU with constant : 0.000044 kWh, power : 14.0 W
[codecarbon INFO @ 15:55:42] Energy consumed for All CPU : 0.002669 kWh
[codecarbon INFO @ 15:55:42] 0.004576 kWh of electricity and 0.000000 L of water were used since the beginning.</t>
  </si>
  <si>
    <t>Processing took: 692.9210021770014
[codecarbon INFO @ 16:23:51] Energy consumed for RAM : 0.001925 kWh. RAM Power : 10.0 W
[codecarbon INFO @ 16:23:51] Delta energy consumed for CPU with constant : 0.000011 kWh, power : 14.0 W
[codecarbon INFO @ 16:23:51] Energy consumed for All CPU : 0.002695 kWh
[codecarbon INFO @ 16:23:51] 0.004620 kWh of electricity and 0.000000 L of water were used since the beginning.</t>
  </si>
  <si>
    <t>Processing took: 712.6851206280007
[codecarbon INFO @ 16:36:29] Energy consumed for RAM : 0.001980 kWh. RAM Power : 10.0 W
[codecarbon INFO @ 16:36:29] Delta energy consumed for CPU with constant : 0.000030 kWh, power : 14.0 W
[codecarbon INFO @ 16:36:29] Energy consumed for All CPU : 0.002772 kWh
[codecarbon INFO @ 16:36:29] 0.004751 kWh of electricity and 0.000000 L of water were used since the beginning.</t>
  </si>
  <si>
    <t>Processing took: 1388.6962536390001
[codecarbon INFO @ 12:36:35] Energy consumed for RAM : 0.003857 kWh. RAM Power : 10.0 W
[codecarbon INFO @ 12:36:35] Delta energy consumed for CPU with constant : 0.000033 kWh, power : 14.0 W
[codecarbon INFO @ 12:36:35] Energy consumed for All CPU : 0.005400 kWh
[codecarbon INFO @ 12:36:35] 0.009257 kWh of electricity and 0.000000 L of water were used since the beginning.</t>
  </si>
  <si>
    <t>Processing took: 1339.4813921959994
[codecarbon INFO @ 13:07:55] Energy consumed for RAM : 0.003720 kWh. RAM Power : 10.0 W
[codecarbon INFO @ 13:07:55] Delta energy consumed for CPU with constant : 0.000017 kWh, power : 14.0 W
[codecarbon INFO @ 13:07:55] Energy consumed for All CPU : 0.005209 kWh
[codecarbon INFO @ 13:07:55] 0.008929 kWh of electricity and 0.000000 L of water were used since the beginning.</t>
  </si>
  <si>
    <t>Processing took: 1360.6004686739998
[codecarbon INFO @ 13:34:41] Energy consumed for RAM : 0.003779 kWh. RAM Power : 10.0 W
[codecarbon INFO @ 13:34:41] Delta energy consumed for CPU with constant : 0.000041 kWh, power : 14.0 W
[codecarbon INFO @ 13:34:41] Energy consumed for All CPU : 0.005291 kWh
[codecarbon INFO @ 13:34:41] 0.009070 kWh of electricity and 0.000000 L of water were used since the beginning.</t>
  </si>
  <si>
    <t>Processing took: 699.0831568430003
[codecarbon INFO @ 14:47:09] Energy consumed for RAM : 0.001942 kWh. RAM Power : 10.0 W
[codecarbon INFO @ 14:47:09] Delta energy consumed for CPU with constant : 0.000029 kWh, power : 14.0 W
[codecarbon INFO @ 14:47:09] Energy consumed for All CPU : 0.002719 kWh
[codecarbon INFO @ 14:47:09] 0.004661 kWh of electricity and 0.000000 L of water were used since the beginning.</t>
  </si>
  <si>
    <t>Processing took: 722.7614319580007
[codecarbon INFO @ 15:01:56] Energy consumed for RAM : 0.002006 kWh. RAM Power : 10.0 W
[codecarbon INFO @ 15:01:56] Delta energy consumed for CPU with constant : 0.000009 kWh, power : 14.0 W
[codecarbon INFO @ 15:01:56] Energy consumed for All CPU : 0.002811 kWh
[codecarbon INFO @ 15:01:56] 0.004817 kWh of electricity and 0.000000 L of water were used since the beginning.</t>
  </si>
  <si>
    <t>Processing took: 711.5072390870009
[codecarbon INFO @ 15:34:10] Energy consumed for RAM : 0.001976 kWh. RAM Power : 10.0 W
[codecarbon INFO @ 15:34:10] Delta energy consumed for CPU with constant : 0.000022 kWh, power : 14.0 W
[codecarbon INFO @ 15:34:10] Energy consumed for All CPU : 0.002767 kWh
[codecarbon INFO @ 15:34:10] 0.004743 kWh of electricity and 0.000000 L of water were used since the beginning.</t>
  </si>
  <si>
    <t>Processing took: 636.5452569650006
[codecarbon INFO @ 16:03:54] Energy consumed for RAM : 0.001768 kWh. RAM Power : 10.0 W
[codecarbon INFO @ 16:03:54] Delta energy consumed for CPU with constant : 0.000025 kWh, power : 14.0 W
[codecarbon INFO @ 16:03:54] Energy consumed for All CPU : 0.002476 kWh
[codecarbon INFO @ 16:03:54] 0.004244 kWh of electricity and 0.000000 L of water were used since the beginning.</t>
  </si>
  <si>
    <t>Processing took: 654.0341900069998
[codecarbon INFO @ 16:16:28] Energy consumed for RAM : 0.001817 kWh. RAM Power : 10.0 W
[codecarbon INFO @ 16:16:28] Delta energy consumed for CPU with constant : 0.000035 kWh, power : 14.0 W
[codecarbon INFO @ 16:16:28] Energy consumed for All CPU : 0.002544 kWh
[codecarbon INFO @ 16:16:28] 0.004360 kWh of electricity and 0.000000 L of water were used since the beginning.</t>
  </si>
  <si>
    <t>Processing took: 649.0114655819998
[codecarbon INFO @ 16:27:49] Energy consumed for RAM : 0.001803 kWh. RAM Power : 10.0 W
[codecarbon INFO @ 16:27:49] Delta energy consumed for CPU with constant : 0.000016 kWh, power : 14.0 W
[codecarbon INFO @ 16:27:49] Energy consumed for All CPU : 0.002524 kWh
[codecarbon INFO @ 16:27:49] 0.004327 kWh of electricity and 0.000000 L of water were used since the beginning.</t>
  </si>
  <si>
    <t xml:space="preserve">Processing took: 10.753523695002514
[codecarbon INFO @ 16:29:09] Energy consumed for RAM : 0.000026 kWh. RAM Power : 10.0 W
[codecarbon INFO @ 16:29:09] Delta energy consumed for CPU with constant : 0.000036 kWh, power : 14.0 W
[codecarbon INFO @ 16:29:09] Energy consumed for All CPU : 0.000036 kWh
[codecarbon INFO @ 16:29:09] 0.000061 kWh of electricity and 0.000000 L of water were used since the beginning.
</t>
  </si>
  <si>
    <t xml:space="preserve">Processing took: 9.442425220000587
[codecarbon INFO @ 16:31:00] Energy consumed for RAM : 0.000022 kWh. RAM Power : 10.0 W
[codecarbon INFO @ 16:31:00] Delta energy consumed for CPU with constant : 0.000031 kWh, power : 14.0 W
[codecarbon INFO @ 16:31:00] Energy consumed for All CPU : 0.000031 kWh
[codecarbon INFO @ 16:31:00] 0.000053 kWh of electricity and 0.000000 L of water were used since the beginning.
</t>
  </si>
  <si>
    <t xml:space="preserve">Processing took: 9.430574890000571
[codecarbon INFO @ 16:31:51] Energy consumed for RAM : 0.000022 kWh. RAM Power : 10.0 W
[codecarbon INFO @ 16:31:51] Delta energy consumed for CPU with constant : 0.000031 kWh, power : 14.0 W
[codecarbon INFO @ 16:31:51] Energy consumed for All CPU : 0.000031 kWh
[codecarbon INFO @ 16:31:51] 0.000053 kWh of electricity and 0.000000 L of water were used since the beginning.
</t>
  </si>
  <si>
    <t xml:space="preserve">Processing took: 271.239501
[codecarbon INFO @ 16:37:03] Energy consumed for RAM : 0.000749 kWh. RAM Power : 10.0 W
[codecarbon INFO @ 16:37:03] Delta energy consumed for CPU with constant : 0.000057 kWh, power : 14.0 W
[codecarbon INFO @ 16:37:03] Energy consumed for All CPU : 0.001049 kWh
[codecarbon INFO @ 16:37:03] 0.001798 kWh of electricity and 0.000000 L of water were used since the beginning.
</t>
  </si>
  <si>
    <t>Processing took: 295.3505147720025
[codecarbon INFO @ 16:44:00] Energy consumed for RAM : 0.000816 kWh. RAM Power : 10.0 W
[codecarbon INFO @ 16:44:00] Delta energy consumed for CPU with constant : 0.000034 kWh, power : 14.0 W
[codecarbon INFO @ 16:44:00] Energy consumed for All CPU : 0.001143 kWh
[codecarbon INFO @ 16:44:00] 0.001959 kWh of electricity and 0.000000 L of water were used since the beginning.</t>
  </si>
  <si>
    <t>Processing took: 303.165982904
[codecarbon INFO @ 16:49:34] Energy consumed for RAM : 0.000838 kWh. RAM Power : 10.0 W
[codecarbon INFO @ 16:49:34] Delta energy consumed for CPU with constant : 0.000006 kWh, power : 14.0 W
[codecarbon INFO @ 16:49:34] Energy consumed for All CPU : 0.001173 kWh
[codecarbon INFO @ 16:49:34] 0.002011 kWh of electricity and 0.000000 L of water were used since the beginning.</t>
  </si>
  <si>
    <t>Processing took: 4960.561420271999
[codecarbon INFO @ 18:15:07] Energy consumed for RAM : 0.013774 kWh. RAM Power : 10.0 W
[codecarbon INFO @ 18:15:07] Delta energy consumed for CPU with constant : 0.000034 kWh, power : 14.0 W
[codecarbon INFO @ 18:15:07] Energy consumed for All CPU : 0.019285 kWh
[codecarbon INFO @ 18:15:07] 0.033059 kWh of electricity and 0.000000 L of water were used since the beginning.</t>
  </si>
  <si>
    <t>Processing took: 4882.469171784
[codecarbon INFO @ 19:49:36] Energy consumed for RAM : 0.013557 kWh. RAM Power : 10.0 W
[codecarbon INFO @ 19:49:36] Delta energy consumed for CPU with constant : 0.000021 kWh, power : 14.0 W
[codecarbon INFO @ 19:49:36] Energy consumed for All CPU : 0.018980 kWh
[codecarbon INFO @ 19:49:36] 0.032537 kWh of electricity and 0.000000 L of water were used since the beginning.</t>
  </si>
  <si>
    <t>Processing took: 4853.690502662001
[codecarbon INFO @ 21:23:08] Energy consumed for RAM : 0.013476 kWh. RAM Power : 10.0 W
[codecarbon INFO @ 21:23:08] Delta energy consumed for CPU with constant : 0.000025 kWh, power : 14.0 W
[codecarbon INFO @ 21:23:08] Energy consumed for All CPU : 0.018867 kWh
[codecarbon INFO @ 21:23:08] 0.032343 kWh of electricity and 0.000000 L of water were used since the beginning.</t>
  </si>
  <si>
    <t>Processing took: 20932.163979000004
[codecarbon INFO @ 05:42:50] Energy consumed for RAM : 0.116270 kWh. RAM Power : 20.0 W
[codecarbon INFO @ 05:42:50] Delta energy consumed for CPU with constant : 0.000279 kWh, power : 112.0 W
[codecarbon INFO @ 05:42:50] Energy consumed for All CPU : 0.651133 kWh
[codecarbon INFO @ 05:42:50] 0.767402 kWh of electricity used since the beginning.</t>
  </si>
  <si>
    <t xml:space="preserve">Processing took: 21160.001283300007
[codecarbon INFO @ 14:37:05] Energy consumed for RAM : 0.117535 kWh. RAM Power : 20.0 W
[codecarbon INFO @ 14:37:05] Delta energy consumed for CPU with constant : 0.000005 kWh, power : 112.0 W   
[codecarbon INFO @ 14:37:05] Energy consumed for All CPU : 0.658220 kWh
[codecarbon INFO @ 14:37:05] 0.775755 kWh of electricity used since the beginning.
</t>
  </si>
  <si>
    <t xml:space="preserve">Processing took: 20819.22852599999
[codecarbon INFO @ 22:41:47] Energy consumed for RAM : 0.115642 kWh. RAM Power : 20.0 W
[codecarbon INFO @ 22:41:47] Delta energy consumed for CPU with constant : 0.000041 kWh, power : 112.0 W   
[codecarbon INFO @ 22:41:47] Energy consumed for All CPU : 0.647621 kWh
[codecarbon INFO @ 22:41:47] 0.763263 kWh of electricity used since the beginning.
</t>
  </si>
  <si>
    <t xml:space="preserve">Processing took: 2.4761256700003287
[codecarbon INFO @ 17:29:01] Energy consumed for RAM : 0.000001 kWh. RAM Power : 10.0 W
[codecarbon INFO @ 17:29:01] Delta energy consumed for CPU with constant : 0.000001 kWh, power : 14.0 W
[codecarbon INFO @ 17:29:01] Energy consumed for All CPU : 0.000001 kWh
[codecarbon INFO @ 17:29:01] 0.000002 kWh of electricity and 0.000000 L of water were used since the beginning.
</t>
  </si>
  <si>
    <t>Processing took: 2.778717462992063
[codecarbon INFO @ 17:29:18] Energy consumed for RAM : 0.000001 kWh. RAM Power : 10.0 W
[codecarbon INFO @ 17:29:18] Delta energy consumed for CPU with constant : 0.000001 kWh, power : 14.0 W
[codecarbon INFO @ 17:29:18] Energy consumed for All CPU : 0.000001 kWh
[codecarbon INFO @ 17:29:18] 0.000002 kWh of electricity and 0.000000 L of water were used since the beginning.</t>
  </si>
  <si>
    <t>Processing took: 2.3567802070028847
[codecarbon INFO @ 17:29:27] Energy consumed for RAM : 0.000001 kWh. RAM Power : 10.0 W
[codecarbon INFO @ 17:29:27] Delta energy consumed for CPU with constant : 0.000001 kWh, power : 14.0 W
[codecarbon INFO @ 17:29:27] Energy consumed for All CPU : 0.000001 kWh
[codecarbon INFO @ 17:29:27] 0.000002 kWh of electricity and 0.000000 L of water were used since the beginning.</t>
  </si>
  <si>
    <t>Processing took: 2.0046212549932534
[codecarbon INFO @ 17:29:45] Energy consumed for RAM : 0.000000 kWh. RAM Power : 10.0 W
[codecarbon INFO @ 17:29:45] Delta energy consumed for CPU with constant : 0.000001 kWh, power : 14.0 W
[codecarbon INFO @ 17:29:45] Energy consumed for All CPU : 0.000001 kWh
[codecarbon INFO @ 17:29:45] 0.000001 kWh of electricity and 0.000000 L of water were used since the beginning.</t>
  </si>
  <si>
    <t xml:space="preserve">Processing took: 2.0046551120030927
[codecarbon INFO @ 17:29:52] Energy consumed for RAM : 0.000000 kWh. RAM Power : 10.0 W
[codecarbon INFO @ 17:29:52] Delta energy consumed for CPU with constant : 0.000001 kWh, power : 14.0 W
[codecarbon INFO @ 17:29:52] Energy consumed for All CPU : 0.000001 kWh
[codecarbon INFO @ 17:29:52] 0.000001 kWh of electricity and 0.000000 L of water were used since the beginning.
</t>
  </si>
  <si>
    <t xml:space="preserve">Processing took: 2.4874578960007057
[codecarbon INFO @ 17:30:02] Energy consumed for RAM : 0.000000 kWh. RAM Power : 10.0 W
[codecarbon INFO @ 17:30:02] Delta energy consumed for CPU with constant : 0.000001 kWh, power : 14.0 W
[codecarbon INFO @ 17:30:02] Energy consumed for All CPU : 0.000001 kWh
[codecarbon INFO @ 17:30:02] 0.000001 kWh of electricity and 0.000000 L of water were used since the beginning.
</t>
  </si>
  <si>
    <t>Processing took: 3.379574648992275
[codecarbon INFO @ 17:30:18] Energy consumed for RAM : 0.000004 kWh. RAM Power : 10.0 W
[codecarbon INFO @ 17:30:18] Delta energy consumed for CPU with constant : 0.000006 kWh, power : 14.0 W
[codecarbon INFO @ 17:30:18] Energy consumed for All CPU : 0.000006 kWh
[codecarbon INFO @ 17:30:18] 0.000010 kWh of electricity and 0.000000 L of water were used since the beginning.</t>
  </si>
  <si>
    <t xml:space="preserve">Processing took: 3.330998046003515
[codecarbon INFO @ 17:30:28] Energy consumed for RAM : 0.000004 kWh. RAM Power : 10.0 W
[codecarbon INFO @ 17:30:28] Delta energy consumed for CPU with constant : 0.000006 kWh, power : 14.0 W
[codecarbon INFO @ 17:30:28] Energy consumed for All CPU : 0.000006 kWh
[codecarbon INFO @ 17:30:28] 0.000010 kWh of electricity and 0.000000 L of water were used since the beginning.
</t>
  </si>
  <si>
    <t xml:space="preserve">Processing took: 3.521405920997495
[codecarbon INFO @ 17:30:37] Energy consumed for RAM : 0.000004 kWh. RAM Power : 10.0 W
[codecarbon INFO @ 17:30:37] Delta energy consumed for CPU with constant : 0.000006 kWh, power : 14.0 W
[codecarbon INFO @ 17:30:37] Energy consumed for All CPU : 0.000006 kWh
[codecarbon INFO @ 17:30:37] 0.000010 kWh of electricity and 0.000000 L of water were used since the beginning.
</t>
  </si>
  <si>
    <t xml:space="preserve">Processing took: 4.119534395009396
[codecarbon INFO @ 17:30:59] Energy consumed for RAM : 0.000006 kWh. RAM Power : 10.0 W
[codecarbon INFO @ 17:30:59] Delta energy consumed for CPU with constant : 0.000009 kWh, power : 14.0 W
[codecarbon INFO @ 17:30:59] Energy consumed for All CPU : 0.000009 kWh
[codecarbon INFO @ 17:30:59] 0.000015 kWh of electricity and 0.000000 L of water were used since the beginning.
</t>
  </si>
  <si>
    <t xml:space="preserve">Processing took: 4.149352124004508
[codecarbon INFO @ 17:31:09] Energy consumed for RAM : 0.000006 kWh. RAM Power : 10.0 W
[codecarbon INFO @ 17:31:09] Delta energy consumed for CPU with constant : 0.000009 kWh, power : 14.0 W
[codecarbon INFO @ 17:31:09] Energy consumed for All CPU : 0.000009 kWh
[codecarbon INFO @ 17:31:09] 0.000015 kWh of electricity and 0.000000 L of water were used since the beginning.
</t>
  </si>
  <si>
    <t xml:space="preserve">Processing took: 4.154465116997017
[codecarbon INFO @ 17:31:22] Energy consumed for RAM : 0.000006 kWh. RAM Power : 10.0 W
[codecarbon INFO @ 17:31:22] Delta energy consumed for CPU with constant : 0.000009 kWh, power : 14.0 W
[codecarbon INFO @ 17:31:22] Energy consumed for All CPU : 0.000009 kWh
[codecarbon INFO @ 17:31:22] 0.000015 kWh of electricity and 0.000000 L of water were used since the beginning.
</t>
  </si>
  <si>
    <t xml:space="preserve">Processing took: 2.3139911470061634
[codecarbon INFO @ 17:31:32] Energy consumed for RAM : 0.000001 kWh. RAM Power : 10.0 W
[codecarbon INFO @ 17:31:32] Delta energy consumed for CPU with constant : 0.000002 kWh, power : 14.0 W
[codecarbon INFO @ 17:31:32] Energy consumed for All CPU : 0.000002 kWh
[codecarbon INFO @ 17:31:32] 0.000003 kWh of electricity and 0.000000 L of water were used since the beginning.
</t>
  </si>
  <si>
    <t xml:space="preserve">Processing took: 2.3010431680013426
[codecarbon INFO @ 17:31:40] Energy consumed for RAM : 0.000001 kWh. RAM Power : 10.0 W
[codecarbon INFO @ 17:31:40] Delta energy consumed for CPU with constant : 0.000002 kWh, power : 14.0 W
[codecarbon INFO @ 17:31:40] Energy consumed for All CPU : 0.000002 kWh
[codecarbon INFO @ 17:31:40] 0.000003 kWh of electricity and 0.000000 L of water were used since the beginning.
</t>
  </si>
  <si>
    <t xml:space="preserve">Processing took: 2.340581311000278
[codecarbon INFO @ 17:31:49] Energy consumed for RAM : 0.000001 kWh. RAM Power : 10.0 W
[codecarbon INFO @ 17:31:49] Delta energy consumed for CPU with constant : 0.000002 kWh, power : 14.0 W
[codecarbon INFO @ 17:31:49] Energy consumed for All CPU : 0.000002 kWh
[codecarbon INFO @ 17:31:49] 0.000003 kWh of electricity and 0.000000 L of water were used since the beginning.
</t>
  </si>
  <si>
    <t xml:space="preserve">Processing took: 359.63418083799996
[codecarbon INFO @ 11:09:45] Energy consumed for RAM : 0.000995 kWh. RAM Power : 10.0 W
[codecarbon INFO @ 11:09:45] Delta energy consumed for CPU with constant : 0.000051 kWh, power : 14.0 W
[codecarbon INFO @ 11:09:45] Energy consumed for All CPU : 0.001393 kWh
[codecarbon INFO @ 11:09:45] 0.002388 kWh of electricity and 0.000000 L of water were used since the beginning.
</t>
  </si>
  <si>
    <t xml:space="preserve">Processing took: 342.58397361699997
[codecarbon INFO @ 11:18:41] Energy consumed for RAM : 0.000948 kWh. RAM Power : 10.0 W
[codecarbon INFO @ 11:18:41] Delta energy consumed for CPU with constant : 0.000043 kWh, power : 14.0 W
[codecarbon INFO @ 11:18:41] Energy consumed for All CPU : 0.001327 kWh
[codecarbon INFO @ 11:18:41] 0.002274 kWh of electricity and 0.000000 L of water were used since the beginning.
</t>
  </si>
  <si>
    <t>Processing took: 328.71484683499966
[codecarbon INFO @ 11:47:57] Energy consumed for RAM : 0.000909 kWh. RAM Power : 10.0 W
[codecarbon INFO @ 11:47:57] Delta energy consumed for CPU with constant : 0.000048 kWh, power : 14.0 W
[codecarbon INFO @ 11:47:57] Energy consumed for All CPU : 0.001273 kWh
[codecarbon INFO @ 11:47:57] 0.002182 kWh of electricity and 0.000000 L of water were used since the beginning.</t>
  </si>
  <si>
    <t>Processing took: 208.7761952789997
[codecarbon INFO @ 12:13:14] Energy consumed for RAM : 0.000576 kWh. RAM Power : 10.0 W
[codecarbon INFO @ 12:13:14] Delta energy consumed for CPU with constant : 0.000048 kWh, power : 14.0 W
[codecarbon INFO @ 12:13:14] Energy consumed for All CPU : 0.000807 kWh
[codecarbon INFO @ 12:13:14] 0.001383 kWh of electricity and 0.000000 L of water were used since the beginning.</t>
  </si>
  <si>
    <t>Processing took: 219.19389769100053
[codecarbon INFO @ 12:19:38] Energy consumed for RAM : 0.000605 kWh. RAM Power : 10.0 W
[codecarbon INFO @ 12:19:38] Delta energy consumed for CPU with constant : 0.000030 kWh, power : 14.0 W    
[codecarbon INFO @ 12:19:38] Energy consumed for All CPU : 0.000847 kWh
[codecarbon INFO @ 12:19:38] 0.001452 kWh of electricity and 0.000000 L of water were used since the beginning.</t>
  </si>
  <si>
    <t>Processing took: 209.50858262899965
[codecarbon INFO @ 13:43:03] Energy consumed for RAM : 0.000578 kWh. RAM Power : 10.0 W
[codecarbon INFO @ 13:43:03] Delta energy consumed for CPU with constant : 0.000051 kWh, power : 14.0 W    
[codecarbon INFO @ 13:43:03] Energy consumed for All CPU : 0.000809 kWh
[codecarbon INFO @ 13:43:03] 0.001388 kWh of electricity and 0.000000 L of water were used since the beginning.</t>
  </si>
  <si>
    <t>Processing took: 950.865419189
[codecarbon INFO @ 14:12:13] Energy consumed for RAM : 0.002635 kWh. RAM Power : 10.0 W
[codecarbon INFO @ 14:12:13] Delta energy consumed for CPU with constant : 0.000015 kWh, power : 14.0 W    
[codecarbon INFO @ 14:12:13] Energy consumed for All CPU : 0.003691 kWh
[codecarbon INFO @ 14:12:13] 0.006326 kWh of electricity and 0.000000 L of water were used since the beginning.</t>
  </si>
  <si>
    <t>Processing took: 1117.818865856003
[codecarbon INFO @ 20:17:14] Energy consumed for RAM : 0.003095 kWh. RAM Power : 10.0 W
[codecarbon INFO @ 20:17:14] Delta energy consumed for CPU with constant : 0.000018 kWh, power : 14.0 W
[codecarbon INFO @ 20:17:14] Energy consumed for All CPU : 0.004336 kWh
[codecarbon INFO @ 20:17:14] 0.007432 kWh of electricity and 0.000000 L of water were used since the beginning.</t>
  </si>
  <si>
    <t>Processing took: 1065.3967985880008
[codecarbon INFO @ 21:01:11] Energy consumed for RAM : 0.002952 kWh. RAM Power : 10.0 W
[codecarbon INFO @ 21:01:11] Delta energy consumed for CPU with constant : 0.000050 kWh, power : 14.0 W
[codecarbon INFO @ 21:01:11] Energy consumed for All CPU : 0.004135 kWh
[codecarbon INFO @ 21:01:11] 0.007087 kWh of electricity and 0.000000 L of water were used since the beginning.</t>
  </si>
  <si>
    <t>Processing took: 553.6754121470003
[codecarbon INFO @ 21:11:08] Energy consumed for RAM : 0.001533 kWh. RAM Power : 10.0 W
[codecarbon INFO @ 21:11:08] Delta energy consumed for CPU with constant : 0.000046 kWh, power : 14.0 W
[codecarbon INFO @ 21:11:08] Energy consumed for All CPU : 0.002147 kWh
[codecarbon INFO @ 21:11:08] 0.003680 kWh of electricity and 0.000000 L of water were used since the beginning.</t>
  </si>
  <si>
    <t>Processing took: 511.7550103429967
[codecarbon INFO @ 22:49:32] Energy consumed for RAM : 0.001418 kWh. RAM Power : 10.0 W
[codecarbon INFO @ 22:49:32] Delta energy consumed for CPU with constant : 0.000001 kWh, power : 14.0 W
[codecarbon INFO @ 22:49:32] Energy consumed for All CPU : 0.001985 kWh
[codecarbon INFO @ 22:49:32] 0.003402 kWh of electricity and 0.000000 L of water were used since the beginning.</t>
  </si>
  <si>
    <t>Processing took: 571.461204738
[codecarbon INFO @ 08:58:15] Energy consumed for RAM : 0.001583 kWh. RAM Power : 10.0 W
[codecarbon INFO @ 08:58:15] Delta energy consumed for CPU with constant : 0.000058 kWh, power : 14.0 W
[codecarbon INFO @ 08:58:15] Energy consumed for All CPU : 0.002217 kWh
[codecarbon INFO @ 08:58:15] 0.003800 kWh of electricity and 0.000000 L of water were used since the beginning.</t>
  </si>
  <si>
    <t>Processing took: 212.75069623500008
[codecarbon INFO @ 09:05:54] Energy consumed for RAM : 0.000587 kWh. RAM Power : 10.0 W
[codecarbon INFO @ 09:05:54] Delta energy consumed for CPU with constant : 0.000006 kWh, power : 14.0 W
[codecarbon INFO @ 09:05:54] Energy consumed for All CPU : 0.000822 kWh
[codecarbon INFO @ 09:05:54] 0.001410 kWh of electricity and 0.000000 L of water were used since the beginning.</t>
  </si>
  <si>
    <t>Processing took: 180.9181420719999
[codecarbon INFO @ 09:23:58] Energy consumed for RAM : 0.000499 kWh. RAM Power : 10.0 W
[codecarbon INFO @ 09:23:58] Delta energy consumed for CPU with constant : 0.000057 kWh, power : 14.0 W
[codecarbon INFO @ 09:23:58] Energy consumed for All CPU : 0.000698 kWh
[codecarbon INFO @ 09:23:58] 0.001197 kWh of electricity and 0.000000 L of water were used since the beginning.</t>
  </si>
  <si>
    <t xml:space="preserve">Processing took: 186.01988541399987
[codecarbon INFO @ 09:30:12] Energy consumed for RAM : 0.000513 kWh. RAM Power : 10.0 W
[codecarbon INFO @ 09:30:12] Delta energy consumed for CPU with constant : 0.000018 kWh, power : 14.0 W
[codecarbon INFO @ 09:30:12] Energy consumed for All CPU : 0.000718 kWh
[codecarbon INFO @ 09:30:12] 0.001231 kWh of electricity and 0.000000 L of water were used since the beginning.
</t>
  </si>
  <si>
    <t>Processing took: 1477.5723722700004
[codecarbon INFO @ 11:12:25] Energy consumed for RAM : 0.004100 kWh. RAM Power : 10.0 W
[codecarbon INFO @ 11:12:25] Delta energy consumed for CPU with constant : 0.000024 kWh, power : 14.0 W
[codecarbon INFO @ 11:12:25] Energy consumed for All CPU : 0.005741 kWh
[codecarbon INFO @ 11:12:25] 0.009841 kWh of electricity and 0.000000 L of water were used since the beginning.</t>
  </si>
  <si>
    <t>Processing took: 1451.427493837
[codecarbon INFO @ 12:40:20] Energy consumed for RAM : 0.004028 kWh. RAM Power : 10.0 W
[codecarbon INFO @ 12:40:20] Delta energy consumed for CPU with constant : 0.000039 kWh, power : 14.0
[codecarbon INFO @ 12:40:20] Energy consumed for All CPU : 0.005639
[codecarbon INFO @ 12:40:20] 0.009667 kWh of electricity and 0.000000 L of water were used since the beginning.</t>
  </si>
  <si>
    <t>Processing took: 1457.4477874840013
[codecarbon INFO @ 13:27:32] Energy consumed for RAM : 0.004044 kWh. RAM Power : 10.0 W     
[codecarbon INFO @ 13:27:32] Delta energy consumed for CPU with constant : 0.000004 kWh, power : 14.0 W
[codecarbon INFO @ 13:27:32] Energy consumed for All CPU : 0.005662 kWh
[codecarbon INFO @ 13:27:32] 0.009707 kWh of electricity and 0.000000 L of water were used since the beginning.</t>
  </si>
  <si>
    <t>Processing took: 695.5157949120039
[codecarbon INFO @ 09:13:38] Energy consumed for RAM : 0.001928 kWh. RAM Power : 10.0 W
[codecarbon INFO @ 09:13:38] Delta energy consumed for CPU with constant : 0.000016 kWh, power : 14.0 W
[codecarbon INFO @ 09:13:38] Energy consumed for All CPU : 0.002699 kWh
[codecarbon INFO @ 09:13:38] 0.004627 kWh of electricity and 0.000000 L of water were used since the beginning.</t>
  </si>
  <si>
    <t>Processing took: 666.6493128360016
[codecarbon INFO @ 09:27:56] Energy consumed for RAM : 0.001848 kWh. RAM Power : 10.0 W                        
[codecarbon INFO @ 09:27:56] Delta energy consumed for CPU with constant : 0.000020 kWh, power : 14.0 W        
[codecarbon INFO @ 09:27:56] Energy consumed for All CPU : 0.002587 kWh                                        
[codecarbon INFO @ 09:27:56] 0.004435 kWh of electricity and 0.000000 L of water were used since the beginning.</t>
  </si>
  <si>
    <t xml:space="preserve">Processing took: 690.025007165008
[codecarbon INFO @ 10:21:11] Energy consumed for RAM : 0.001913 kWh. RAM Power : 10.0 W                        
[codecarbon INFO @ 10:21:11] Delta energy consumed for CPU with constant : 0.000053 kWh, power : 14.0 W        
[codecarbon INFO @ 10:21:11] Energy consumed for All CPU : 0.002678 kWh
[codecarbon INFO @ 10:21:11] 0.004591 kWh of electricity and 0.000000 L of water were used since the beginning.                         </t>
  </si>
  <si>
    <t xml:space="preserve">Processing took: 3662.0148237100075
[codecarbon INFO @ 11:57:06] Energy consumed for RAM : 0.010168 kWh. RAM Power : 10.0 W                        
[codecarbon INFO @ 11:57:06] Delta energy consumed for CPU with constant : 0.000002 kWh, power : 14.0 W
[codecarbon INFO @ 11:57:06] Energy consumed for All CPU : 0.014235 kWh
[codecarbon INFO @ 11:57:06] 0.024403 kWh of electricity and 0.000000 L of water were used since the beginning.                                               </t>
  </si>
  <si>
    <t xml:space="preserve">Processing took: 3803.4978847810125
[codecarbon INFO @ 13:22:34] Energy consumed for RAM : 0.010561 kWh. RAM Power : 10.0 W                        
[codecarbon INFO @ 13:22:34] Delta energy consumed for CPU with constant : 0.000027 kWh, power : 14.0 W        
[codecarbon INFO @ 13:22:34] Energy consumed for All CPU : 0.014785 kWh
[codecarbon INFO @ 13:22:34] 0.025346 kWh of electricity and 0.000000 L of water were used since the beginning.                                       </t>
  </si>
  <si>
    <t xml:space="preserve">Processing took: 4004.585812843987
[codecarbon INFO @ 15:27:30] Energy consumed for RAM : 0.011119 kWh. RAM Power : 10.0W
[codecarbon INFO @ 15:27:30] Delta energy consumed for CPU with constant : 0.000051 kWh, power : 14.0 W
[codecarbon INFO @ 15:27:30] Energy consumed for All CPU : 0.015568 kWh
[codecarbon INFO @ 15:27:30] 0.026687 kWh of electricity and 0.000000 L of water were used since the beginning.         </t>
  </si>
  <si>
    <t>Processing took: 3069.498601946998
[codecarbon INFO @ 14:44:44] Energy consumed for RAM : 0.008522 kWh. RAM Power : 10.0 W
[codecarbon INFO @ 14:44:44] Delta energy consumed for CPU with constant : 0.000031 kWh, power : 14.0 W
[codecarbon INFO @ 14:44:44] Energy consumed for All CPU : 0.011931 kWh
[codecarbon INFO @ 14:44:44] 0.020453 kWh of electricity and 0.000000 L of water were used since the beginning.</t>
  </si>
  <si>
    <t>Processing took: 3107.318781795999
[codecarbon INFO @ 17:53:16] Energy consumed for RAM : 0.008626 kWh. RAM Power : 10.0 W   
[codecarbon INFO @ 17:53:16] Delta energy consumed for CPU with constant : 0.000002 kWh, power : 14.0 W
[codecarbon INFO @ 17:53:16] Energy consumed for All CPU : 0.012077 kWh
[codecarbon INFO @ 17:53:16] 0.020704 kWh of electricity and 0.000000 L of water were used since the beginning.</t>
  </si>
  <si>
    <t>Processing took: 2940.7809947780042
[codecarbon INFO @ 18:51:02] Energy consumed for RAM : 0.008164 kWh. RAM Power : 10.0 W
[codecarbon INFO @ 18:51:02] Delta energy consumed for CPU with constant : 0.000055 kWh, power : 14.0 W
[codecarbon INFO @ 18:51:02] Energy consumed for All CPU : 0.011430 kWh
[codecarbon INFO @ 18:51:02] 0.019594 kWh of electricity and 0.000000 L of water were used since the beginning.</t>
  </si>
  <si>
    <t>Processing took: 2385.232364721007
[codecarbon INFO @ 20:15:00] Energy consumed for RAM : 0.006621 kWh. RAM Power : 10.0 W
[codecarbon INFO @ 20:15:00] Delta energy consumed for CPU with constant : 0.000052 kWh, power : 14.0 W
[codecarbon INFO @ 20:15:00] Energy consumed for All CPU : 0.009269 kWh
[codecarbon INFO @ 20:15:00] 0.015890 kWh of electricity and 0.000000 L of water were used since the beginning.</t>
  </si>
  <si>
    <t>Processing took: 2314.027678474995
[codecarbon INFO @ 23:21:28] Energy consumed for RAM : 0.006424 kWh. RAM Power : 10.0 W
[codecarbon INFO @ 23:21:28] Delta energy consumed for CPU with constant : 0.000010 kWh, power : 14.0 W
[codecarbon INFO @ 23:21:28] Energy consumed for All CPU : 0.008993 kWh
[codecarbon INFO @ 23:21:28] 0.015417 kWh of electricity and 0.000000 L of water were used since the beginning.</t>
  </si>
  <si>
    <t>Processing took: 2372.6702358259936
[codecarbon INFO @ 08:33:12] Energy consumed for RAM : 0.006586 kWh. RAM Power : 10.0 W
[codecarbon INFO @ 08:33:12] Delta energy consumed for CPU with constant : 0.000004 kWh, power : 14.0 W
[codecarbon INFO @ 08:33:12] Energy consumed for All CPU : 0.009221 kWh
[codecarbon INFO @ 08:33:12] 0.015808 kWh of electricity and 0.000000 L of water were used since the beginning.</t>
  </si>
  <si>
    <t>2025-12-23T07:02:25,generate-markov,df969466-4b0e-4a7f-9f13-7640899e51b7,5b0fa12a-3dd7-45bb-9766-cc326314d9f1,249.67636070100002,0.0013853293689698688,5.548500326904678e-06,32.5,0.0,20.0,0.002251895700175694,0.0,0.0013846166215722223,0.0036365123217479167,0.0,Germany,DEU,bavaria,Linux-6.6.87.2-microsoft-standard-WSL2-x86_64-with-glibc2.35,3.10.12,3.2.0,16,AMD Ryzen 7 7700 8-Core Processor,10.9545,49.9282,30.90642547607422,machine,N,1.0,0.0,,</t>
  </si>
  <si>
    <t>2025-12-23T07:07:07,generate-markov,0d69ed59-8714-45bd-8f60-27d5868de5cb,5b0fa12a-3dd7-45bb-9766-cc326314d9f1,245.82068692200005,0.0013641681310691,5.54944397947285e-06,32.5,0.0,20.0,0.0022174151452465,0.0,0.0013635485798333,0.0035809637250798,0.0,Germany,DEU,bavaria,Linux-6.6.87.2-microsoft-standard-WSL2-x86_64-with-glibc2.35,3.10.12,3.2.0,16,AMD Ryzen 7 7700 8-Core Processor,10.9545,49.9282,30.90642547607422,machine,N,1.0,0.0,,</t>
  </si>
  <si>
    <t>2025-12-23T07:11:40,generate-markov,5bd4f46f-f348-4dc0-8451-2c8972fbed1e,5b0fa12a-3dd7-45bb-9766-cc326314d9f1,241.45434490500008,0.001339819081074967,5.548954116365631e-06,32.5,0.0,20.0,0.002177868461915972,0.0,0.0013391786074500006,0.003517047069365972,0.0,Germany,DEU,bavaria,Linux-6.6.87.2-microsoft-standard-WSL2-x86_64-with-glibc2.35,3.10.12,3.2.0,16,AMD Ryzen 7 7700 8-Core Processor,10.9545,49.9282,30.90642547607422,machine,N,1.0,0.0,,</t>
  </si>
  <si>
    <t>2025-12-23T07:13:58,generate-markov-oneword,0c4f5004-eedb-40ca-bf2b-f637e99cfc55,5b0fa12a-3dd7-45bb-9766-cc326314d9f1,107.15044922999994,0.0005938331370442,5.542049905639017e-06,32.5,0.0,20.0,0.0009653354035993,0.0,0.0005934863237777,0.001558821727377,0.0,Germany,DEU,bavaria,Linux-6.6.87.2-microsoft-standard-WSL2-x86_64-with-glibc2.35,3.10.12,3.2.0,16,AMD Ryzen 7 7700 8-Core Processor,10.9545,49.9282,30.90642547607422,machine,N,1.0,0.0,,</t>
  </si>
  <si>
    <t>2025-12-23T07:16:19,generate-markov-oneword,96e156a9-ad2a-4b21-a396-805c48a24494,5b0fa12a-3dd7-45bb-9766-cc326314d9f1,109.60778022999989,0.0006079862765376841,5.546926278973004e-06,32.5,0.0,20.0,0.0009883164915541688,0.0,0.0006076574591944438,0.0015959739507486127,0.0,Germany,DEU,bavaria,Linux-6.6.87.2-microsoft-standard-WSL2-x86_64-with-glibc2.35,3.10.12,3.2.0,16,AMD Ryzen 7 7700 8-Core Processor,10.9545,49.9282,30.90642547607422,machine,N,1.0,0.0,,</t>
  </si>
  <si>
    <t>2025-12-23T07:20:42,generate-markov-oneword,d0a57406-2f4f-40b9-b392-4b7d5a10b037,5b0fa12a-3dd7-45bb-9766-cc326314d9f1,111.16108949600016,0.0006165149870979897,5.546140199715957e-06,32.5,0.0,20.0,0.0010023660355222234,0.0,0.0006159959203722237,0.0016183619558944472,0.0,Germany,DEU,bavaria,,,Linux-6.6.87.2-microsoft-standard-WSL2-x86_64-with-glibc2.35,3.10.12,3.2.0,16,AMD Ryzen 7 7700 8-Core Processor,,,10.9545,49.9282,30.90642547607422,machine,N,1.0,0.0</t>
  </si>
  <si>
    <t xml:space="preserve">2025-12-23T09:58:15,generate-LSTMgpu,16713ce2-4118-4737-bb66-bfe6d08fa687,5b0fa12a-3dd7-45bb-9766-cc326314d9f1,9337.727778897999,0.05187452494139277,5.555369161502242e-06,32.5,0.0,20.0,0.08429751436628889,0.0,0.05187396467661119,0.13617147904290003,0.0,Germany,DEU,bavaria,,,Linux-6.6.87.2-microsoft-standard-WSL2-x86_64-with-glibc2.35,3.10.12,3.2.0,16,AMD Ryzen 7 7700 8-Core Processor,,,10.9545,49.9282,30.90642547607422,machine,N,1.0,0.0 </t>
  </si>
  <si>
    <t>2025-12-27T10:51:46,generate-LSTMgpu,04b8bd30-28b7-4cfb-955b-99a4b09376f0,5b0fa12a-3dd7-45bb-9766-cc326314d9f1,9288.027946666,0.05159835748352052,5.55536199716562e-06,32.5,0.0,20.0,0.0838486731692458,0.0,0.05159786176583875,0.1354465349350847,0.0,Germany,DEU,bavaria,Linux-6.6.87.2-microsoft-standard-WSL2-x86_64-with-glibc2.35,3.10.12,3.2.0,16,AMD Ryzen 7 7700 8-Core Processor,10.9545,49.9282,30.906417846679688,machine,N,1.0,0.0,,</t>
  </si>
  <si>
    <t>2025-12-27T17:33:52,generate-LSTMgpu,79111c63-9c50-404e-a752-7cc227ea41bb,5b0fa12a-3dd7-45bb-9766-cc326314d9f1,9288.465228513003,0.051600878226050736,5.555371846325096e-06,32.5,0.0,20.0,0.0838527822855215,0.0,0.05160036964006102,0.13545315192558272,0.0,Germany,DEU,bavaria,,,Linux-6.6.87.2-microsoft-standard-WSL2-x86_64-with-glibc2.35,3.10.12,3.2.0,16,AMD Ryzen 7 7700 8-Core Processor,,,10.9545,49.9282,30.906417846679688,machine,N,1.0,0.0</t>
  </si>
  <si>
    <t>2025-12-27T20:20:05,generate-LSTMgpu,2ee0acbf-3093-48a1-9800-a4721b919e3a,5b0fa12a-3dd7-45bb-9766-cc326314d9f1,9354.716191617998,0.05930648218859424,6.339741470910039e-06,32.5,7.420920313756378,20.0,0.0844389348663622,0.019280559591102003,0.051960994290650556,0.15568048874811455,0.0,Germany,DEU,bavaria,Linux-6.6.87.2-microsoft-standard-WSL2-x86_64-with-glibc2.35,3.10.12,3.2.0,16,AMD Ryzen 7 7700 8-Core Processor,10.9545,49.9282,30.906417846679688,machine,N,1.0,0.0,,,1.0,1 x NVIDIA GeForce RTX 5070 Ti</t>
  </si>
  <si>
    <t>2025-12-28T08:45:27,generate-LSTMgpu,3826ea63-9060-4c32-b663-7c235d59a7f9,5b0fa12a-3dd7-45bb-9766-cc326314d9f1,9354.806319662006,0.059182439061606903,6.326420562787792e-06,32.5,7.29341958343672,20.0,0.08444204370658263,0.018949987937755985,0.05196284186033864,0.15535487350467753,0.0,Germany,DEU,bavaria,Linux-6.6.87.2-microsoft-standard-WSL2-x86_64-with-glibc2.35,3.10.12,3.2.0,16,AMD Ryzen 7 7700 8-Core Processor,10.9545,49.9282,30.906417846679688,machine,N,1.0,0.0,1.0,1 x NVIDIA GeForce RTX 5070 Ti,,</t>
  </si>
  <si>
    <t>2025-12-28T19:58:31,generate-LSTMgpu,47e03b50-c0ff-4794-8b09-f7a32dd7ce55,5b0fa12a-3dd7-45bb-9766-cc326314d9f1,9354.822744782,0.05963951490029004,6.375269369326767e-06,32.5,7.755420848696413,20.0,0.08444146752272286,0.02015060000935598,0.051962637548088844,0.1565547050801681,0.0,Germany,DEU,bavaria,Linux-6.6.87.2-microsoft-standard-WSL2-x86_64-with-glibc2.35,3.10.12,3.2.0,16,AMD Ryzen 7 7700 8-Core Processor,10.9545,49.9282,30.90642547607422,machine,N,1.0,0.0,1.0,1 x NVIDIA GeForce RTX 5070 Ti,,</t>
  </si>
  <si>
    <t>2025-12-29T08:55:40,generate-GPT2,8da13a65-b776-4ea0-974d-ebf584e82091,5b0fa12a-3dd7-45bb-9766-cc326314d9f1,1333.4546332,0.007407852062002963,5.555383646030563e-06,32.5,0.0,20.0,0.012037936533512488,0.0,0.007407796665077776,0.01944573319859027,0.0,Germany,DEU,bavaria,,,Linux-6.6.87.2-microsoft-standard-WSL2-x86_64-with-glibc2.35,3.10.12,3.2.0,16,AMD Ryzen 7 7700 8-Core Processor,10.9545,49.9282,30.906421661376953,machine,N,1.0,0.0</t>
  </si>
  <si>
    <t>2025-12-29T09:35:14,generate-GPT2,783e258a-c86a-4430-a6a1-85bf1f2ba002,5b0fa12a-3dd7-45bb-9766-cc326314d9f1,1300.7601487750003,0.007226228074020561,5.555388578613752e-06,32.5,0.0,20.0,0.011742792920977062,0.0,0.007226174329372216,0.018968967250349286,0.0,Germany,DEU,bavaria,,,Linux-6.6.87.2-microsoft-standard-WSL2-x86_64-with-glibc2.35,3.10.12,3.2.0,16,AMD Ryzen 7 7700 8-Core Processor,,,10.9545,49.9282,30.906421661376953,machine,N,1</t>
  </si>
  <si>
    <t>2025-12-29T10:50:07,generate-GPT2,8a4a895a-8344-4638-b714-d82d8a6d4951,5b0fa12a-3dd7-45bb-9766-cc326314d9f1,1309.843305384,0.00727668046027715,5.5553824112907034e-06,32.5,0.0,20.0,0.011824783632873632,0.0,0.007276621959138842,0.01910140559201247,0.0,Germany,DEU,bavaria,Linux-6.6.87.2-microsoft-standard-WSL2-x86_64-with-glibc2.35,3.10.12,3.2.0,16,AMD Ryzen 7 7700 8-Core Processor,10.9545,49.9282,30.906421661376953,machine,N,1.0,0.0,,</t>
  </si>
  <si>
    <t>2025-12-29T11:26:04,generate-GPT2,e6d2ebd1-fe8c-4c1f-9bbf-ba0de4b2bfa3,5b0fa12a-3dd7-45bb-9766-cc326314d9f1,463.80109346099925,0.00572119668694558,1.2335453209591607e-05,32.5,64.07957299877017,20.0,0.004186847456837525,0.008254927437269965,0.0025764602730944516,0.015018235167201943,0.0,Germany,DEU,bavaria,,,Linux-6.6.87.2-microsoft-standard-WSL2-x86_64-with-glibc2.35,3.10.12,3.2.0,16,AMD Ryzen 7 7700 8-Core Processor,1,1 x NVIDIA GeForce RTX 5070 Ti,10.9545,49.9282,30.906421661376953,machine,N,1.0,0.0</t>
  </si>
  <si>
    <t>2025-12-29T11:36:37,generate-GPT2,f76501f4-e1df-49ee-b5e4-c90427ce2af3,5b0fa12a-3dd7-45bb-9766-cc326314d9f1,550.9205638879994,0.006764413820902358,1.2278383244880189e-05,32.5,63.523914632108045,20.0,0.0049732914765083965,0.00972298888949591,0.003060416893222252,0.01775669725922656,0.0,Germany,DEU,bavaria,Linux-6.6.87.2-microsoft-standard-WSL2-x86_64-with-glibc2.35,3.10.12,3.2.0,16,AMD Ryzen 7 7700 8-Core Processor,1,1 x NVIDIA GeForce RTX 5070 Ti,10.9545,49.9282,30.906421661376953,machine,N,1.0,0.</t>
  </si>
  <si>
    <t>2025-12-29T11:48:31,generate-GPT2,d620e161-4bbf-4060-9c34-050490d3779e,5b0fa12a-3dd7-45bb-9766-cc326314d9f1,480.4266642420007,0.0059670083831407685,1.2420227325548827e-05,32.5,65.18338039311723,20.0,0.00433691598593676,0.008657764981762017,0.00266881393488888,0.015663494902587657,0.0,Germany,DEU,bavaria,Linux-6.6.87.2-microsoft-standard-WSL2-x86_64-with-glibc2.35,3.10.12,3.2.0,16,AMD Ryzen 7 7700 8-Core Processor,1,1 x NVIDIA GeForce RTX 5070 Ti,10.9545,49.9282,30.906421661376953,machine,N,1.0,0.0,,</t>
  </si>
  <si>
    <t>2025-12-29T12:56:26,generate-gpt2-finetuned,de707b6f-8703-4ea9-bfda-571c36e89e77,5b0fa12a-3dd7-45bb-9766-cc326314d9f1,1379.7969106969995,0.008618475320307444,6.246191199220653e-06,32.5,6.5331276252166495,20.0,0.012455220411291469,0.002503847836410056,0.007664570865849976,0.0226236391135515,0.0,Germany,DEU,bavaria,Linux-6.6.87.2-microsoft-standard-WSL2-x86_64-with-glibc2.35,3.10.12,3.2.0,16,AMD Ryzen 7 7700 8-Core Processor,1.0,1 x NVIDIA GeForce RTX 5070 Ti,10.9545,49.9282,30.906421661376953,machine,N,1.0,0.0,,</t>
  </si>
  <si>
    <t>2025-12-29T13:22:11,generate-gpt2-finetuned,cbd907f3-780a-419b-85ae-b3ceb69c7ace,5b0fa12a-3dd7-45bb-9766-cc326314d9f1,1351.7835127129983,0.008375200557462508,6.195667041872462e-06,32.5,6.0719107674669734,20.0,0.012202488972149343,0.0022735079299159855,0.007509041967766684,0.021985038869832017,0.0,Germany,DEU,bavaria,Linux-6.6.87.2-microsoft-standard-WSL2-x86_64-with-glibc2.35,3.10.12,3.2.0,16,AMD Ryzen 7 7700 8-Core Processor,1.0,1 x NVIDIA GeForce RTX 5070 Ti,10.9545,49.9282,30.906421661376953,machine,N,1.0,0.0,,</t>
  </si>
  <si>
    <t>2025-12-29T14:43:15,generate-gpt2-finetuned,3ed4dfdd-a94d-481f-81f7-87559cf1f70a,5b0fa12a-3dd7-45bb-9766-cc326314d9f1,1371.3428883929992,0.008657198095255753,6.312934692358848e-06,32.5,7.167348538467417,20.0,0.012378843026983355,0.002728892738668054,0.007617551267438891,0.02272528703309031,0.0,Germany,DEU,bavaria,Linux-6.6.87.2-microsoft-standard-WSL2-x86_64-with-glibc2.35,3.10.12,3.2.0,16,AMD Ryzen 7 7700 8-Core Processor,1.0,1 x NVIDIA GeForce RTX 5070 Ti,10.9545,49.9282,30.906421661376953,machine,N,1.0,0.0,,</t>
  </si>
  <si>
    <t>2025-12-29T12:02:21,generate-gpt2-finetuned,01ed7577-6c83-4e82-9d59-04a3a24829cb,5b0fa12a-3dd7-45bb-9766-cc326314d9f1,677.2260186610001,0.0070260085855075385,1.03746879061133e-05,32.5,46.02756820460707,20.0,0.006106220014384016,0.008590024094235982,0.003747143699511101,0.01844338780813109,0.0,Germany,DEU,bavaria,,,Linux-6.6.87.2-microsoft-standard-WSL2-x86_64-with-glibc2.35,3.10.12,3.2.0,16,AMD Ryzen 7 7700 8-Core Processor,1,1 x NVIDIA GeForce RTX 5070 Ti,10.9545,49.9282,30.906421661376953,machine,N,1.0,0.0</t>
  </si>
  <si>
    <t>2025-12-29T12:15:15,generate-gpt2-finetuned,d9d141d5-72da-442a-83f8-cfcfc7e37da1,5b0fa12a-3dd7-45bb-9766-cc326314d9f1,695.9222861870003,0.0071407932937143925,1.0260906189452885e-05,32.5,44.764263907980244,20.0,0.006277282134229169,0.008607623552759958,0.003859793863383342,0.01874469955037247,0.0,Germany,DEU,bavaria,Linux-6.6.87.2-microsoft-standard-WSL2-x86_64-with-glibc2.35,3.10.12,3.2.0,16,AMD Ryzen 7 7700 8-Core Processor,1,1 x NVIDIA GeForce RTX 5070 Ti,10.9545,49.9282,30.906421661376953,machine,N,1.0,0.0,,</t>
  </si>
  <si>
    <t>2025-12-29T12:28:24,generate-gpt2-finetuned,1082989e-3ae3-48ce-9bc0-a721bfdd8dce,5b0fa12a-3dd7-45bb-9766-cc326314d9f1,646.7664094739994,0.00663045272848669,1.0251696178654498e-05,32.5,44.94422141342241,20.0,0.005836130429936791,0.007978974716507936,0.003589942047377796,0.01740504719382252,0.0,Germany,DEU,bavaria,Linux-6.6.87.2-microsoft-standard-WSL2-x86_64-with-glibc2.35,3.10.12,3.2.0,16,AMD Ryzen 7 7700 8-Core Processor,1,1 x NVIDIA GeForce RTX 5070 Ti,10.9545,49.9282,30.906421661376953,machine,N,1.0,0.0,,</t>
  </si>
  <si>
    <t>2025-12-29T15:00:53,ts1,8f61b7a9-ebfe-4f28-b4c0-1e6ccf874058,5b0fa12a-3dd7-45bb-9766-cc326314d9f1,30.120997185997112,0.00019222139029431506,6.381640989750381e-06,32.5,11.804289172105184,20.0,0.00027165269095071125,6.59117193959613e-05,0.0001670198928277993,0.0005045843031744718,0.0,Germany,DEU,bavaria,Linux-6.6.87.2-microsoft-standard-WSL2-x86_64-with-glibc2.41,3.9.25,3.2.0,16,AMD Ryzen 7 7700 8-Core Processor,1,1 x NVIDIA GeForce RTX 5070 Ti,10.9545,49.9282,30.906421661376953,machine,N,1.0,0.0,,</t>
  </si>
  <si>
    <t>2025-12-29T15:04:09,ts1,63558644-b655-4442-a803-4349516a6528,5b0fa12a-3dd7-45bb-9766-cc326314d9f1,30.345612960001745,0.00019076541912801305,6.286424972843985e-06,32.5,8.620516082502851,20.0,0.00027346034023752153,5.92214362660215e-05,0.0001680805784722098,0.0005007623549757529,0.0,Germany,DEU,bavaria,Linux-6.6.87.2-microsoft-standard-WSL2-x86_64-with-glibc2.41,3.9.25,3.2.0,16,AMD Ryzen 7 7700 8-Core Processor,1,1 x NVIDIA GeForce RTX 5070 Ti,10.9545,49.9282,30.906421661376953,machine,N,1.0,0.0,,</t>
  </si>
  <si>
    <t>2025-12-29T15:06:36,ts1,f971f151-efe3-4c99-ba8d-2005edfcc2be,5b0fa12a-3dd7-45bb-9766-cc326314d9f1,29.837909854999452,0.00018777593249172674,6.293199939414127e-06,32.5,7.028454023649187,20.0,0.0002691181514124916,5.821782435200262e-05,0.00016557892774443544,0.0004929149035089296,0.0,Germany,DEU,bavaria,Linux-6.6.87.2-microsoft-standard-WSL2-x86_64-with-glibc2.41,3.9.25,3.2.0,16,AMD Ryzen 7 7700 8-Core Processor,1,1 x NVIDIA GeForce RTX 5070 Ti,10.9545,49.9282,30.906421661376953,machine,N,1.0,0.0,,</t>
  </si>
  <si>
    <t>2025-12-29T14:49:24,ts1,d37cc71f-7753-416c-9a00-ee8235ea688b,5b0fa12a-3dd7-45bb-9766-cc326314d9f1,26.06115594099901,0.0001638925154134,6.288766153905333e-06,32.5,7.031436823120533,20.0,0.0002350202410201,5.066198497399865e-05,0.0001445383158444,0.0004302205418385,0.0,Germany,DEU,bavaria,Linux-6.6.87.2-microsoft-standard-WSL2-x86_64-with-glibc2.41,3.9.25,3.2.0,16,AMD Ryzen 7 7700 8-Core Processor,1,1 x NVIDIA GeForce RTX 5070 Ti,10.9545,49.9282,30.90642166137696,machine,N,1.0,0.0,,</t>
  </si>
  <si>
    <t>2025-12-29T14:53:59,ts1,20bc6ac0-72a6-48c3-a1f4-8d8ccc486823,5b0fa12a-3dd7-45bb-9766-cc326314d9f1,25.18164251900089,0.0001583721096751,6.289189021552378e-06,32.5,7.050570016424788,20.0,0.0002270802568486,4.89675391739941e-05,0.0001396815901833,0.0004157293862059,0.0,Germany,DEU,bavaria,Linux-6.6.87.2-microsoft-standard-WSL2-x86_64-with-glibc2.41,3.9.25,3.2.0,16,AMD Ryzen 7 7700 8-Core Processor,1,1 x NVIDIA GeForce RTX 5070 Ti,10.9545,49.9282,30.906421661376957,machine,N,1.0,0.0,,</t>
  </si>
  <si>
    <t>2025-12-29T14:55:31,ts1,0ccadc6c-8dc0-4161-9ff7-97dfb913ecac,5b0fa12a-3dd7-45bb-9766-cc326314d9f1,24.72376203100066,0.000155604778819943,6.293733883412771e-06,32.5,7.0824202601862964,20.0,0.00022303871902363425,4.8231983030000425e-05,0.00013719439525557392,0.00040846509730920854,0.0,Germany,DEU,bavaria,Linux-6.6.87.2-microsoft-standard-WSL2-x86_64-with-glibc2.41,3.9.25,3.2.0,16,AMD Ryzen 7 7700 8-Core Processor,1,1 x NVIDIA GeForce RTX 5070 Ti,10.9545,49.9282,30.906421661376953,machine,N,1.0,0.0,,</t>
  </si>
  <si>
    <t>2025-12-29T16:17:21,ts_1,b614350f-4061-4039-b1f7-ac4730a397b6,5b0fa12a-3dd7-45bb-9766-cc326314d9f1,453.04215772300086,0.002516793188908825,5.555317857301137e-06,32.5,0.0,20.0,0.00408987449872085,0.0,0.0025167489135611404,0.006606623412281992,0.0,Germany,DEU,bavaria,Linux-6.6.87.2-microsoft-standard-WSL2-x86_64-with-glibc2.41,3.9.25,3.2.0,16,AMD Ryzen 7 7700 8-Core Processor,,,10.9545,49.9282,30.906421661376953,machine,N,1.0,0.0,,</t>
  </si>
  <si>
    <t>2025-12-29T16:28:02,ts_1,0a4fca0e-47de-4b18-a229-15d8884874da,5b0fa12a-3dd7-45bb-9766-cc326314d9f1,444.5551392699999,0.0024696672317703755,5.555367632968532e-06,32.5,0.0,20.0,0.00401327607392293,0.0,0.002469640927705566,0.0064829170016284954,0.0,Germany,DEU,bavaria,Linux-6.6.87.2-microsoft-standard-WSL2-x86_64-with-glibc2.41,3.9.25,3.2.0,16,AMD Ryzen 7 7700 8-Core Processor,,,10.9545,49.9282,30.906421661376953,machine,N,1.0,0.0,,</t>
  </si>
  <si>
    <t>2025-12-29T16:36:09,ts_1,54f3464f-ef13-4a11-b6e4-0718dd1ed32f,5b0fa12a-3dd7-45bb-9766-cc326314d9f1,443.59248224399926,0.0024643176074956915,5.555363776747206e-06,32.5,0.0,20.0,0.004004583182572949,0.0,0.002464290967566679,0.0064688741501396285,0.0,Germany,DEU,bavaria,Linux-6.6.87.2-microsoft-standard-WSL2-x86_64-with-glibc2.41,3.9.25,3.2.0,16,AMD Ryzen 7 7700 8-Core Processor,,,10.9545,49.9282,30.906421661376953,machine,N,1.0,0.0,,</t>
  </si>
  <si>
    <t>2025-12-30T17:56:09,ts_1,eb57bf70-ff19-4088-b1e6-a4c75c627420,5b0fa12a-3dd7-45bb-9766-cc326314d9f1,261.14664995099884,0.0026970570605883096,1.0327749029498871e-05,32.5,45.1861506966036,20.0,0.0023574011741040925,0.003271743172948094,0.0014506746858610818,0.007079819032913269,0.0,Germany,DEU,bavaria,Linux-6.6.87.2-microsoft-standard-WSL2-x86_64-with-glibc2.41,3.9.25,3.2.0,16,AMD Ryzen 7 7700 8-Core Processor,1.0,1 x NVIDIA GeForce RTX 5070 Ti,10.9545,49.9282,30.90642547607422,machine,N,1.0,0.0,,</t>
  </si>
  <si>
    <t>2025-12-30T18:32:24,ts_1,39dcb710-178d-4719-a194-1f4fab03fc4a,5b0fa12a-3dd7-45bb-9766-cc326314d9f1,256.67694658300024,0.0026712729350163045,1.0407140066833036e-05,32.5,46.18579179137541,20.0,0.002317029568397955,0.0032692995598819774,0.0014258061519833672,0.007012135280263301,0.0,Germany,DEU,bavaria,Linux-6.6.87.2-microsoft-standard-WSL2-x86_64-with-glibc2.41,3.9.25,3.2.0,16,AMD Ryzen 7 7700 8-Core Processor,1.0,1 x NVIDIA GeForce RTX 5070 Ti,10.9545,49.9282,30.90642547607422,machine,N,1.0,0.0,,</t>
  </si>
  <si>
    <t>2025-12-30T18:50:07,ts_1,0b8b305c-a652-46e4-bdc7-2f7d51641b9e,5b0fa12a-3dd7-45bb-9766-cc326314d9f1,257.23961713099925,0.002684107881997073,1.0434271019110525e-05,32.5,46.69156247167333,20.0,0.0023221299367861166,0.003294750691354098,0.0014289465985222703,0.007045827226662483,0.0,Germany,DEU,bavaria,Linux-6.6.87.2-microsoft-standard-WSL2-x86_64-with-glibc2.41,3.9.25,3.2.0,16,AMD Ryzen 7 7700 8-Core Processor,1.0,1 x NVIDIA GeForce RTX 5070 Ti,10.9545,49.9282,30.90642547607422,machine,N,1.0,0.0,,</t>
  </si>
  <si>
    <t>2025-12-30T16:09:16,ts_1,de9e52ce-20a5-40c8-8a69-e9eeedc5c323,5b0fa12a-3dd7-45bb-9766-cc326314d9f1,914.4737137280008,0.005079438711171805,5.554493950913741e-06,32.5,0.0,20.0,0.00825455023050486,0.0,0.0050790597213833276,0.013333609951888188,0.0,Germany,DEU,bavaria,Linux-6.6.87.2-microsoft-standard-WSL2-x86_64-with-glibc2.41,3.9.25,3.2.0,16,AMD Ryzen 7 7700 8-Core Processor,,,10.9545,49.9282,30.90642547607422,machine,N,1.0,0.0,,</t>
  </si>
  <si>
    <t>2025-12-30T16:27:45,ts_1,37b1cc42-1fd4-437c-b84b-b81e5694085a,5b0fa12a-3dd7-45bb-9766-cc326314d9f1,913.6041567569991,0.005074715368951309,5.554610638993715e-06,32.5,0.0,20.0,0.008246794166577757,0.0,0.005074416934488809,0.013321211101066568,0.0,Germany,DEU,bavaria,Linux-6.6.87.2-microsoft-standard-WSL2-x86_64-with-glibc2.41,3.9.25,3.2.0,16,AMD Ryzen 7 7700 8-Core Processor,,,10.9545,49.9282,30.90642547607422,machine,N,1.0,0.0,,</t>
  </si>
  <si>
    <t>2025-12-30T16:42:59,ts_1,893fd0b0-294a-49e6-aede-0c767b0534b0,5b0fa12a-3dd7-45bb-9766-cc326314d9f1,894.2412508810012,0.004967256873907886,5.554716771356917e-06,32.5,0.0,20.0,0.008072171950347833,0.0,0.004966958838227786,0.013039130788575628,0.0,Germany,DEU,bavaria,Linux-6.6.87.2-microsoft-standard-WSL2-x86_64-with-glibc2.41,3.9.25,3.2.0,16,AMD Ryzen 7 7700 8-Core Processor,,,10.9545,49.9282,30.90642547607422,machine,N,1.0,0.0,,</t>
  </si>
  <si>
    <t>2025-12-30T19:19:20,ts_1,a466e624-17e5-45ed-92fd-b49bf348a4d6,5b0fa12a-3dd7-45bb-9766-cc326314d9f1,403.3924091209992,0.004252160145380256,1.0541001886093506e-05,32.5,47.158472759053375,20.0,0.003640861526990305,0.005280933669187915,0.0022401949478833556,0.011161990144061572,0.0,Germany,DEU,bavaria,Linux-6.6.87.2-microsoft-standard-WSL2-x86_64-with-glibc2.41,3.9.25,3.2.0,16,AMD Ryzen 7 7700 8-Core Processor,1.0,1 x NVIDIA GeForce RTX 5070 Ti,10.9545,49.9282,30.90642547607422,machine,N,1.0,0.0,,</t>
  </si>
  <si>
    <t>2025-12-30T19:45:11,ts_1,98536c88-2d46-4a0d-98aa-10cfb626632b,5b0fa12a-3dd7-45bb-9766-cc326314d9f1,402.74986902100136,0.0042311355937526066,1.0505616312272405e-05,32.5,46.83506389850126,20.0,0.0036335516324970496,0.005238205857228007,0.0022350428613777287,0.011106800351102786,0.0,Germany,DEU,bavaria,Linux-6.6.87.2-microsoft-standard-WSL2-x86_64-with-glibc2.41,3.9.25,3.2.0,16,AMD Ryzen 7 7700 8-Core Processor,1.0,1 x NVIDIA GeForce RTX 5070 Ti,10.9545,49.9282,30.90642547607422,machine,N,1.0,0.0,,</t>
  </si>
  <si>
    <t>2026-01-01T11:08:39,ts_1,4fcdb0f5-c638-4cb0-81fc-725bb4035242,5b0fa12a-3dd7-45bb-9766-cc326314d9f1,398.156292055,0.0041690561845105605,1.047090368205122e-05,32.5,46.49603662344063,20.0,0.0035929827865659736,0.005140214945501986,0.0022106431512777767,0.010943840883345742,0.0,Germany,DEU,bavaria,Linux-6.6.87.2-microsoft-standard-WSL2-x86_64-with-glibc2.41,3.9.25,3.2.0,16,AMD Ryzen 7 7700 8-Core Processor,1.0,1 x NVIDIA GeForce RTX 5070 Ti,10.9545,49.9282,30.90642547607422,machine,N,1.0,0.0,,</t>
  </si>
  <si>
    <t>2025-12-30T14:58:52,ts_1,eeb81b1a-f3fd-4339-9589-f24e3b9baf67,5b0fa12a-3dd7-45bb-9766-cc326314d9f1,559.9246922809998,0.003110188828988584,5.554655602556864e-06,32.5,0.0,20.0,0.00505477903763269,0.0,0.003109517665316727,0.008164296702949426,0.0,Germany,DEU,bavaria,Linux-6.6.87.2-microsoft-standard-WSL2-x86_64-with-glibc2.41,3.9.25,3.2.0,16,AMD Ryzen 7 7700 8-Core Processor,,,10.9545,49.9282,30.90642547607422,machine,N,1.0,0.0,,</t>
  </si>
  <si>
    <t>2025-12-30T15:08:57,ts_1,ec48c462-04d9-4b45-982f-8398f690982b,5b0fa12a-3dd7-45bb-9766-cc326314d9f1,560.3155642919992,0.003112695156740553,5.555253780382983e-06,32.5,0.0,20.0,0.005058301943445799,0.0,0.0031125739109722408,0.00817087585441804,0.0,Germany,DEU,bavaria,Linux-6.6.87.2-microsoft-standard-WSL2-x86_64-with-glibc2.41,3.9.25,3.2.0,16,AMD Ryzen 7 7700 8-Core Processor,,,10.9545,49.9282,30.90642547607422,machine,N,1.0,0.0,,</t>
  </si>
  <si>
    <t>2025-12-30T15:35:19,ts_1,cc33dbd5-9818-46e8-ab0d-aea041704940,5b0fa12a-3dd7-45bb-9766-cc326314d9f1,581.8115270830003,0.0032297519017601573,5.551199574805615e-06,32.5,0.0,20.0,0.005249113438607623,0.0,0.003229038291961104,0.008478151730568729,0.0,Germany,DEU,bavaria,Linux-6.6.87.2-microsoft-standard-WSL2-x86_64-with-glibc2.41,3.9.25,3.2.0,16,AMD Ryzen 7 7700 8-Core Processor,,,10.9545,49.9282,30.90642547607422,machine,N,1.0,0.0,,</t>
  </si>
  <si>
    <t>2026-01-01T11:20:16,ts_1,e52362c6-92a4-4dea-973d-b6a7bbf62e0c,5b0fa12a-3dd7-45bb-9766-cc326314d9f1,417.15408463099993,0.003807568756183218,9.127487651358517e-06,32.5,33.803897069462515,20.0,0.0037640693437569488,0.0039170453558559915,0.0023138157536833383,0.00999493045329628,0.0,Germany,DEU,bavaria,Linux-6.6.87.2-microsoft-standard-WSL2-x86_64-with-glibc2.41,3.9.25,3.2.0,16,AMD Ryzen 7 7700 8-Core Processor,1.0,1 x NVIDIA GeForce RTX 5070 Ti,10.9545,49.9282,30.90642547607422,machine,N,1.0,0.0,,</t>
  </si>
  <si>
    <t>2026-01-01T11:49:57,ts_1,499d5f81-da08-4180-8002-0055276bcf1a,5b0fa12a-3dd7-45bb-9766-cc326314d9f1,418.74649423400024,0.003832223566449791,9.151655283610091e-06,32.5,34.06757455104623,20.0,0.0037768646593888807,0.003961075946636,0.0023217091287166623,0.010059649734741544,0.0,Germany,DEU,bavaria,Linux-6.6.87.2-microsoft-standard-WSL2-x86_64-with-glibc2.41,3.9.25,3.2.0,16,AMD Ryzen 7 7700 8-Core Processor,1.0,1 x NVIDIA GeForce RTX 5070 Ti,10.9545,49.9282,30.90642547607422,machine,N,1.0,0.0,,</t>
  </si>
  <si>
    <t>2026-01-01T12:24:02,ts_1,a6d03060-83d9-47f3-8563-9abcd61df9e6,5b0fa12a-3dd7-45bb-9766-cc326314d9f1,421.1991307369999,0.0038993374245331154,9.25770529894064e-06,32.5,35.66935043785356,20.0,0.0038003665790458468,0.004100707725008035,0.002334750409250005,0.010235824713303886,0.0,Germany,DEU,bavaria,Linux-6.6.87.2-microsoft-standard-WSL2-x86_64-with-glibc2.41,3.9.25,3.2.0,16,AMD Ryzen 7 7700 8-Core Processor,1.0,1 x NVIDIA GeForce RTX 5070 Ti,10.9545,49.9282,30.90642547607422,machine,N,1.0,0.0,,</t>
  </si>
  <si>
    <t>2025-12-30T16:53:41,ts_1,0186f220-4c3f-4ab1-bfcf-f131b25bfcc9,5b0fa12a-3dd7-45bb-9766-cc326314d9f1,433.5964747140024,0.0024087920768815904,5.555377447361432e-06,32.5,0.0,20.0,0.0039143489623784215,0.0,0.0024087697589277625,0.006323118721306183,0.0,Germany,DEU,bavaria,Linux-6.6.87.2-microsoft-standard-WSL2-x86_64-with-glibc2.41,3.9.25,3.2.0,16,AMD Ryzen 7 7700 8-Core Processor,,,10.9545,49.9282,30.90642547607422,machine,N,1.0,0.0,,</t>
  </si>
  <si>
    <t>2025-12-30T17:11:31,ts_1,324c775f-4667-4223-a93d-72d8aa9ecc57,5b0fa12a-3dd7-45bb-9766-cc326314d9f1,425.6915848899989,0.0023648487420839135,5.5553100555065085e-06,32.5,0.0,20.0,0.0038429801316291682,0.0,0.0023647866148832687,0.006207766746512439,0.0,Germany,DEU,bavaria,Linux-6.6.87.2-microsoft-standard-WSL2-x86_64-with-glibc2.41,3.9.25,3.2.0,16,AMD Ryzen 7 7700 8-Core Processor,,,10.9545,49.9282,30.90642547607422,machine,N,1.0,0.0,,</t>
  </si>
  <si>
    <t>2025-12-30T17:24:00,ts_1,5e2508a8-676e-4dda-ab4b-cb270218d12a,5b0fa12a-3dd7-45bb-9766-cc326314d9f1,432.2043324440019,0.002401062907924676,5.5553883376117405e-06,32.5,0.0,20.0,0.0039017857551923297,0.0,0.0024010437707944823,0.006302829525986812,0.0,Germany,DEU,bavaria,Linux-6.6.87.2-microsoft-standard-WSL2-x86_64-with-glibc2.41,3.9.25,3.2.0,16,AMD Ryzen 7 7700 8-Core Processor,,,10.9545,49.9282,30.90642547607422,machine,N,1.0,0.0,,</t>
  </si>
  <si>
    <t>2026-01-01T13:43:53,ts_1,560ee076-c76d-4e86-9a99-74e136ebe7e4,5b0fa12a-3dd7-45bb-9766-cc326314d9f1,335.701480144,0.0030879233490992454,9.198420417374009e-06,32.5,34.47985008281023,20.0,0.0030304108337750398,0.0032106103462639923,0.001864828272905571,0.0081058494529446,0.0,Germany,DEU,bavaria,Linux-6.6.87.2-microsoft-standard-WSL2-x86_64-with-glibc2.41,3.9.25,3.2.0,16,AMD Ryzen 7 7700 8-Core Processor,1.0,1 x NVIDIA GeForce RTX 5070 Ti,10.9545,49.9282,30.90642547607422,machine,N,1.0,0.0,,</t>
  </si>
  <si>
    <t>2026-01-01T13:49:49,ts_1,92bf541d-6482-41d6-ac6f-cb95b4d89394,5b0fa12a-3dd7-45bb-9766-cc326314d9f1,321.0500185350011,0.002993081685641938,9.322789325164391e-06,32.5,35.668638877478195,20.0,0.0028981386731285076,0.00317532392914599,0.0017834259280889056,0.007856888530363402,0.0,Germany,DEU,bavaria,Linux-6.6.87.2-microsoft-standard-WSL2-x86_64-with-glibc2.41,3.9.25,3.2.0,16,AMD Ryzen 7 7700 8-Core Processor,1.0,1 x NVIDIA GeForce RTX 5070 Ti,10.9545,49.9282,30.90642547607422,machine,N,1.0,0.0,,</t>
  </si>
  <si>
    <t>2026-01-01T20:47:38,ts_1,1d35ab5e-7b4b-42fc-8aaa-11d874f0037f,5b0fa12a-3dd7-45bb-9766-cc326314d9f1,322.6566737989997,0.002944790060255507,9.126698126473516e-06,32.5,33.83763579774367,20.0,0.002912573593493053,0.0030252418646359858,0.00179230676330555,0.007730122221434589,0.0,Germany,DEU,bavaria,Linux-6.6.87.2-microsoft-standard-WSL2-x86_64-with-glibc2.41,3.9.25,3.2.0,16,AMD Ryzen 7 7700 8-Core Processor,1.0,1 x NVIDIA GeForce RTX 5070 Ti,10.9545,49.9282,30.90642547607422,machine,N,1.0,0.0,,</t>
  </si>
  <si>
    <t>2026-01-01T20:50:04,lexrank,3e139f92-b964-4df3-a2b4-1f00c1b8a623,5b0fa12a-3dd7-45bb-9766-cc326314d9f1,5.867827139999918,3.259677649162561e-05,5.555169863375707e-06,32.5,0.0,20.0,5.297149370138925e-05,0.0,3.2595579383334755e-05,8.5567073084724e-05,0.0,Germany,DEU,bavaria,Linux-6.6.87.2-microsoft-standard-WSL2-x86_64-with-glibc2.41,3.9.25,3.2.0,16,AMD Ryzen 7 7700 8-Core Processor,,,10.9545,49.9282,30.90642547607422,machine,N,1.0,0.0,,</t>
  </si>
  <si>
    <t>2026-01-01T20:50:53,lexrank,a212d857-bd78-4b60-904c-66f69c064218,5b0fa12a-3dd7-45bb-9766-cc326314d9f1,5.77864924000005,3.210145297842019e-05,5.555182819578769e-06,32.5,0.0,20.0,5.216658904166327e-05,0.0,3.210025169444432e-05,8.42668407361076e-05,0.0,Germany,DEU,bavaria,Linux-6.6.87.2-microsoft-standard-WSL2-x86_64-with-glibc2.41,3.9.25,3.2.0,16,AMD Ryzen 7 7700 8-Core Processor,,,10.9545,49.9282,30.90642547607422,machine,N,1.0,0.0,,</t>
  </si>
  <si>
    <t>2026-01-01T20:51:35,lexrank,f9513ec9-034a-4936-aab7-8704f05addf0,5b0fa12a-3dd7-45bb-9766-cc326314d9f1,5.68239649599991,3.1566354475981787e-05,5.555112970065137e-06,32.5,0.0,20.0,5.129720825486004e-05,0.0,3.156499013333208e-05,8.286219838819211e-05,0.0,Germany,DEU,bavaria,Linux-6.6.87.2-microsoft-standard-WSL2-x86_64-with-glibc2.41,3.9.25,3.2.0,16,AMD Ryzen 7 7700 8-Core Processor,,,10.9545,49.9282,30.90642547607422,machine,N,1.0,0.0,,</t>
  </si>
  <si>
    <t>2026-01-01T20:54:45,bert,deca18b8-84fe-4576-b4c3-6ba2e2f4d79c,5b0fa12a-3dd7-45bb-9766-cc326314d9f1,150.39996299299992,0.0008355274831989006,5.555370271186759e-06,32.5,0.0,20.0,0.0013577540844111125,0.0,0.0008355192669444478,0.00219327335135556,0.0,Germany,DEU,bavaria,Linux-6.6.87.2-microsoft-standard-WSL2-x86_64-with-glibc2.41,3.9.25,3.2.0,16,AMD Ryzen 7 7700 8-Core Processor,,,10.9545,49.9282,30.90642547607422,machine,N,1.0,0.0,,</t>
  </si>
  <si>
    <t>2026-01-01T20:57:31,bert,04799c66-7937-49f7-9ed8-21eb5ab07650,5b0fa12a-3dd7-45bb-9766-cc326314d9f1,151.11066361599978,0.0008394743575715232,5.55536146479234e-06,32.5,0.0,20.0,0.0013641683736597251,0.0,0.0008394655876777809,0.0022036339613375065,0.0,Germany,DEU,bavaria,Linux-6.6.87.2-microsoft-standard-WSL2-x86_64-with-glibc2.41,3.9.25,3.2.0,16,AMD Ryzen 7 7700 8-Core Processor,,,10.9545,49.9282,30.90642547607422,machine,N,1.0,0.0,,</t>
  </si>
  <si>
    <t>2026-01-01T21:00:33,bert,3a57cbf0-c354-4d35-baea-152bd2b51959,5b0fa12a-3dd7-45bb-9766-cc326314d9f1,149.75415070200006,0.0008319385083478582,5.555361934530655e-06,32.5,0.0,20.0,0.0013519233087118106,0.0,0.000831928924777776,0.002183852233489587,0.0,Germany,DEU,bavaria,Linux-6.6.87.2-microsoft-standard-WSL2-x86_64-with-glibc2.41,3.9.25,3.2.0,16,AMD Ryzen 7 7700 8-Core Processor,,,10.9545,49.9282,30.90642547607422,machine,N,1.0,0.0,,</t>
  </si>
  <si>
    <t>2026-01-01T21:02:03,bert,45745e20-b1b5-44ef-9918-df3b7ee6133f,5b0fa12a-3dd7-45bb-9766-cc326314d9f1,50.933121003,0.0006504014569001131,1.2769715346165494e-05,32.5,68.66384558950527,20.0,0.00045978010000902967,0.0009646013272360254,0.00028293306783333614,0.0017073144950783912,0.0,Germany,DEU,bavaria,Linux-6.6.87.2-microsoft-standard-WSL2-x86_64-with-glibc2.41,3.9.25,3.2.0,16,AMD Ryzen 7 7700 8-Core Processor,1.0,1 x NVIDIA GeForce RTX 5070 Ti,10.9545,49.9282,30.90642547607422,machine,N,1.0,0.0,,</t>
  </si>
  <si>
    <t>2026-01-01T21:03:21,bert,36669cba-7570-449a-9525-08b27bf9653b,5b0fa12a-3dd7-45bb-9766-cc326314d9f1,58.896939821999695,0.0007406493680068621,1.2575345514474562e-05,32.5,66.38546806284987,20.0,0.0005316769947215278,0.0010853633682900155,0.00032717637936110957,0.0019442167423726526,0.0,Germany,DEU,bavaria,Linux-6.6.87.2-microsoft-standard-WSL2-x86_64-with-glibc2.41,3.9.25,3.2.0,16,AMD Ryzen 7 7700 8-Core Processor,1.0,1 x NVIDIA GeForce RTX 5070 Ti,10.9545,49.9282,30.90642547607422,machine,N,1.0,0.0,,</t>
  </si>
  <si>
    <t>2026-01-01T21:04:23,bert,c47efa35-a4d7-4aaf-8eba-e944c822c065,5b0fa12a-3dd7-45bb-9766-cc326314d9f1,50.245493159000034,0.0006587158797291365,1.3109949536063942e-05,32.5,72.3370437078411,20.0,0.00045357089828194723,0.000996457463831979,0.0002791116293000035,0.0017291399914139297,0.0,Germany,DEU,bavaria,Linux-6.6.87.2-microsoft-standard-WSL2-x86_64-with-glibc2.41,3.9.25,3.2.0,16,AMD Ryzen 7 7700 8-Core Processor,1.0,1 x NVIDIA GeForce RTX 5070 Ti,10.9545,49.9282,30.90642547607422,machine,N,1.0,0.</t>
  </si>
  <si>
    <t>2026-01-02T09:14:55,mlongt5,200a3ebf-45d2-42d5-80c4-6cc0a080e918,5b0fa12a-3dd7-45bb-9766-cc326314d9f1,1678.1372303940002,0.009322700737008867,5.555386394007863e-06,32.5,0.0,20.0,0.015149616635535417,0.0,0.009322625750627783,0.02447224238616319,0.0,Germany,DEU,bavaria,Linux-6.6.87.2-microsoft-standard-WSL2-x86_64-with-glibc2.41,3.9.25,3.2.0,16,AMD Ryzen 7 7700 8-Core Processor,,,10.9545,49.9282,30.906421661376953,machine,N,1.0,0.0,,</t>
  </si>
  <si>
    <t>2026-01-02T09:48:31,mlongt5,3ed89d04-7fd8-4e76-b9ac-aa8863eeef70,5b0fa12a-3dd7-45bb-9766-cc326314d9f1,1687.0643023449998,0.009372295747520132,5.555387387720047e-06,32.5,0.0,20.0,0.015230211850000707,0.0,0.00937221825242778,0.024602430102428484,0.0,Germany,DEU,bavaria,Linux-6.6.87.2-microsoft-standard-WSL2-x86_64-with-glibc2.41,3.9.25,3.2.0,16,AMD Ryzen 7 7700 8-Core Processor,,,10.9545,49.9282,30.906421661376953,machine,N,1.0,0.0,,</t>
  </si>
  <si>
    <t>2026-01-02T11:03:00,mlongt5,80015552-409f-4664-a602-108012a36114,5b0fa12a-3dd7-45bb-9766-cc326314d9f1,1715.5361019220009,0.009530476586253289,5.555392612009633e-06,32.5,0.0,20.0,0.015487251115356952,0.0,0.009530406283916654,0.025017657399273627,0.0,Germany,DEU,bavaria,Linux-6.6.87.2-microsoft-standard-WSL2-x86_64-with-glibc2.41,3.9.25,3.2.0,16,AMD Ryzen 7 7700 8-Core Processor,,,10.9545,49.9282,30.906421661376953,machine,N,1.0,0.0,,</t>
  </si>
  <si>
    <t>2026-01-01T21:08:07,mlongt5,9efe85c1-87bd-46b9-833d-fd27903354df,5b0fa12a-3dd7-45bb-9766-cc326314d9f1,205.55705826199937,0.00360892934014299,1.7556825198106857e-05,32.5,113.89431013951466,20.0,0.0018555611718493062,0.006476086847531981,0.0011418507078611055,0.009473498727242393,0.0,Germany,DEU,bavaria,Linux-6.6.87.2-microsoft-standard-WSL2-x86_64-with-glibc2.41,3.9.25,3.2.0,16,AMD Ryzen 7 7700 8-Core Processor,1.0,1 x NVIDIA GeForce RTX 5070 Ti,10.9545,49.9282,30.90642547607422,machine,N,1.0,0.0,,</t>
  </si>
  <si>
    <t>2026-01-01T22:44:41,mlongt5,85f26fb7-0cd2-4bf5-b9b2-e9b7617e5a2e,5b0fa12a-3dd7-45bb-9766-cc326314d9f1,199.9360418999986,0.0035173308290733455,1.7592279989380795e-05,32.5,114.8168117495945,20.0,0.0018048608052673506,0.006317536720691963,0.0011106536069277963,0.009233051132887112,0.0,Germany,DEU,bavaria,Linux-6.6.87.2-microsoft-standard-WSL2-x86_64-with-glibc2.41,3.9.25,3.2.0,16,AMD Ryzen 7 7700 8-Core Processor,1.0,1 x NVIDIA GeForce RTX 5070 Ti,10.9545,49.9282,30.90642547607422,machine,N,1.0,0.0,,</t>
  </si>
  <si>
    <t>2026-01-01T22:48:23,mlongt5,7457b33f-8f4d-4e8e-bed4-2d254f1a21d9,5b0fa12a-3dd7-45bb-9766-cc326314d9f1,185.1564095169997,0.0033895347683416963,1.8306332344549454e-05,32.5,121.01652951361199,20.0,0.00167133035679998,0.006197774958215996,0.0010284790617833299,0.008897584376799307,0.0,Germany,DEU,bavaria,Linux-6.6.87.2-microsoft-standard-WSL2-x86_64-with-glibc2.41,3.9.25,3.2.0,16,AMD Ryzen 7 7700 8-Core Processor,1.0,1 x NVIDIA GeForce RTX 5070 Ti,10.9545,49.9282,30.90642547607422,machine,N,1.0,0.0,,</t>
  </si>
  <si>
    <t>2025-12-31T00:54:30,mixtral,fb8d9263-592c-47d0-a60b-8a11b147bdc7,5b0fa12a-3dd7-45bb-9766-cc326314d9f1,3746.8860998,0.21624579179903214,5.771346820779389e-05,520.0,5.414375246009499,20.0,0.5411519664633327,0.005683948436043973,0.02081283637777777,0.5676487512771549,Germany,DEU,bavaria,,,Windows-11-10.0.26200-SP0,3.13.9,3.0.7,16,AMD Ryzen 7 7700 8-Core Processor,1,1 x NVIDIA GeForce RTX 5070 Ti,10.9545,49.9282,63.11513137817383,machine,N,1.0</t>
  </si>
  <si>
    <t>2025-12-31T09:46:40,mixtral,36fdd63b-b412-4f38-84d9-2a5e4211ba8e,5b0fa12a-3dd7-45bb-9766-cc326314d9f1,3639.467661100003,0.20998597960037255,5.769689392896152e-05,520.0,5.369789607334586,20.0,0.5256352906277675,0.005365280403331979,0.020216070523889115,0.5512166415549876,Germany,DEU,bavaria,,,Windows-11-10.0.26200-SP0,3.13.9,3.0.7,16,AMD Ryzen 7 7700 8-Core Processor,1,1 x NVIDIA GeForce RTX 5070 Ti,10.9545,49.9282,63.11513137817383,machine,N,1.0</t>
  </si>
  <si>
    <t>2025-12-31T10:52:24,mixtral,ab6e62f8-095f-4df6-a167-2f29a322222a,5b0fa12a-3dd7-45bb-9766-cc326314d9f1,3711.216440300006,0.21440702927957445,5.777270949528405e-05,520.0,6.790170840285314,20.0,0.5360068824066665,0.006200106904525965,0.020614980184999885,0.5628219694961922,Germany,DEU,bavaria,,,Windows-11-10.0.26200-SP0,3.13.9,3.0.7,16,AMD Ryzen 7 7700 8-Core Processor,1,1 x NVIDIA GeForce RTX 5070 Ti,10.9545,49.9282,63.11513137817383,machine,N,1.0</t>
  </si>
  <si>
    <t>2025-12-31T11:25:18,mixtral,65626eb1-e43a-473a-a318-586a5adb65a3,5b0fa12a-3dd7-45bb-9766-cc326314d9f1,1064.6422161999944,0.06674664322896635,6.269396630466503e-05,520.0,48.68508222014822,20.0,0.1537659150444428,0.01553126020277601,0.0059138582977775085,0.17521103354499634,Germany,DEU,bavaria,,,Windows-11-10.0.26200-SP0,3.13.9,3.0.7,16,AMD Ryzen 7 7700 8-Core Processor,1,1 x NVIDIA GeForce RTX 5070 Ti,10.9545,49.9282,63.11513137817383,machine,N,1.0</t>
  </si>
  <si>
    <t>2025-12-31T12:27:59,mixtral,4a8f26b3-d97f-44ee-9248-0499d558c3f3,5b0fa12a-3dd7-45bb-9766-cc326314d9f1,1100.8472714000018,0.06898618530500919,6.266644528925076e-05,520.0,46.13261082763641,20.0,0.15899489194332989,0.015980008061773965,0.006114968232221793,0.1810898682373256,Germany,DEU,bavaria,,,Windows-11-10.0.26200-SP0,3.13.9,3.0.7,16,AMD Ryzen 7 7700 8-Core Processor,1,1 x NVIDIA GeForce RTX 5070 Ti,10.9545,49.9282,63.11513137817383,machine,N,1.0</t>
  </si>
  <si>
    <t>2025-12-31T13:24:48,mixtral,65832f0c-6b7d-4017-bb38-2896d4175dab,5b0fa12a-3dd7-45bb-9766-cc326314d9f1,1120.440007899997,0.07018705701183585,6.264240523094591e-05,520.0,49.847781054864306,20.0,0.16182166723667155,0.01619681712411003,0.006223691808888626,0.18424217616967017,Germany,DEU,bavaria,,,Windows-11-10.0.26200-SP0,3.13.9,3.0.7,16,AMD Ryzen 7 7700 8-Core Processor,1,1 x NVIDIA GeForce RTX 5070 Ti,10.9545,49.9282,63.11513137817383,machine,N,1.0</t>
  </si>
  <si>
    <t>2026-01-03T12:52:04,lexrank-emails,65171da9-da16-4ff4-8df8-14a26f1b1e20,5b0fa12a-3dd7-45bb-9766-cc326314d9f1,0.1746556159996544,9.689142005930287e-07,5.547569684761502e-06,32.5,0.0,20.0,1.5753248062373536e-06,0.0,9.680908666673023e-07,2.543415672904656e-06,0.0,Germany,DEU,bavaria,Linux-6.6.87.2-microsoft-standard-WSL2-x86_64-with-glibc2.41,3.9.25,3.2.0,16,AMD Ryzen 7 7700 8-Core Processor,10.9545,49.9282,30.906421661376957,machine,N,1.0,0.0,,</t>
  </si>
  <si>
    <t>2026-01-03T12:52:30,lexrank-emails,d0202f7a-6a19-49e0-9b6e-c77440a81500,5b0fa12a-3dd7-45bb-9766-cc326314d9f1,0.172116219999225,9.54723100399607e-07,5.546967626897139e-06,32.5,0.0,20.0,1.5520892742958697e-06,0.0,9.540745277768615e-07,2.506163802072731e-06,0.0,Germany,DEU,bavaria,Linux-6.6.87.2-microsoft-standard-WSL2-x86_64-with-glibc2.41,3.9.25,3.2.0,16,AMD Ryzen 7 7700 8-Core Processor,10.9545,49.9282,30.906421661376953,machine,N,1.0,0.0,,</t>
  </si>
  <si>
    <t>2026-01-03T12:52:41,lexrank-emails,7a499461-a22b-47d5-9dd5-7f058bf98860,5b0fa12a-3dd7-45bb-9766-cc326314d9f1,0.1778811599997425,9.863255872842108e-07,5.544856955540646e-06,32.5,0.0,20.0,1.6041369319522243e-06,0.0,9.849839166741328e-07,2.5891208486263573e-06,0.0,Germany,DEU,bavaria,Linux-6.6.87.2-microsoft-standard-WSL2-x86_64-with-glibc2.41,3.9.25,3.2.0,16,AMD Ryzen 7 7700 8-Core Processor,10.9545,49.9282,30.906421661376957,machine,N,1.0,0.0,,</t>
  </si>
  <si>
    <t>2026-01-03T12:52:52,lexrank-news-EN,fbb9df9d-a9d0-4980-bf89-984dca542228,5b0fa12a-3dd7-45bb-9766-cc326314d9f1,0.11433846199906839,6.332384133962698e-07,5.5382799656814465e-06,32.5,0.0,20.0,1.030443979859936e-06,0.0,6.318172444379242e-07,1.66226122429786e-06,0.0,Germany,DEU,bavaria,Linux-6.6.87.2-microsoft-standard-WSL2-x86_64-with-glibc2.41,3.9.25,3.2.0,16,AMD Ryzen 7 7700 8-Core Processor,10.9545,49.9282,30.906421661376953,machine,N,1.0,0.0,,</t>
  </si>
  <si>
    <t>2026-01-03T12:52:58,lexrank-news-EN,7889d691-7398-4bef-b23e-77e26b78c903,5b0fa12a-3dd7-45bb-9766-cc326314d9f1,0.1189162360005866,6.591705034410039e-07,5.543149746496787e-06,32.5,0.0,20.0,1.072423552783322e-06,0.0,6.579098333329765e-07,1.7303333861162984e-06,0.0,Germany,DEU,bavaria,Linux-6.6.87.2-microsoft-standard-WSL2-x86_64-with-glibc2.41,3.9.25,3.2.0,16,AMD Ryzen 7 7700 8-Core Processor,10.9545,49.9282,30.906421661376957,machine,N,1.0,0.0,,</t>
  </si>
  <si>
    <t>2026-01-03T12:53:08,lexrank-news-EN,0c635fe7-693c-49dd-afff-7e37d6b22a30,5b0fa12a-3dd7-45bb-9766-cc326314d9f1,0.11050913500002935,6.118115499613891e-07,5.536298424209244e-06,32.5,0.0,20.0,9.955703784726213e-07,0.0,6.104449777720018e-07,1.606015356244623e-06,0.0,Germany,DEU,bavaria,Linux-6.6.87.2-microsoft-standard-WSL2-x86_64-with-glibc2.41,3.9.25,3.2.0,16,AMD Ryzen 7 7700 8-Core Processor,10.9545,49.9282,30.906421661376953,machine,N,1.0,0.0,,</t>
  </si>
  <si>
    <t>2026-01-03T12:53:20,lexrank-papers-FR,b685fa8f-77b0-4e1e-b20a-d1640f938806,5b0fa12a-3dd7-45bb-9766-cc326314d9f1,0.9944607020006516,5.523112485888042e-06,5.55387706600841e-06,32.5,0.0,20.0,8.976941034029551e-06,0.0,5.521319855557118e-06,1.449826088958667e-05,0.0,Germany,DEU,bavaria,Linux-6.6.87.2-microsoft-standard-WSL2-x86_64-with-glibc2.41,3.9.25,3.2.0,16,AMD Ryzen 7 7700 8-Core Processor,10.9545,49.9282,30.906421661376957,machine,N,1.0,0.0,,</t>
  </si>
  <si>
    <t>2026-01-03T12:53:33,lexrank-papers-FR,a881c936-6488-4b09-8416-02a0fcdf6adb,5b0fa12a-3dd7-45bb-9766-cc326314d9f1,0.9975637560000905,5.540542564245448e-06,5.554073642832854e-06,32.5,0.0,20.0,9.004816320129471e-06,0.0,5.539198811109398e-06,1.454401513123887e-05,0.0,Germany,DEU,bavaria,Linux-6.6.87.2-microsoft-standard-WSL2-x86_64-with-glibc2.41,3.9.25,3.2.0,16,AMD Ryzen 7 7700 8-Core Processor,10.9545,49.9282,30.906421661376953,machine,N,1.0,0.0,,</t>
  </si>
  <si>
    <t>2026-01-03T12:53:43,lexrank-papers-FR,96c58aba-be5c-4ba7-8ec6-47ad8e845f8f,5b0fa12a-3dd7-45bb-9766-cc326314d9f1,0.9812803490003716,5.450370139473273e-06,5.5543455496949e-06,32.5,0.0,20.0,8.857940875697699e-06,0.0,5.4493701611136205e-06,1.430731103681132e-05,0.0,Germany,DEU,bavaria,Linux-6.6.87.2-microsoft-standard-WSL2-x86_64-with-glibc2.41,3.9.25,3.2.0,16,AMD Ryzen 7 7700 8-Core Processor,10.9545,49.9282,30.906421661376957,machine,N,1.0,0.0,,</t>
  </si>
  <si>
    <t>2026-01-03T12:53:55,lexrank-school-DE,c752d355-49fd-43ee-88ef-cdabff9915a8,5b0fa12a-3dd7-45bb-9766-cc326314d9f1,1.8278566690005391,1.0152507808870576e-05,5.554323805061753e-06,32.5,0.0,20.0,1.649952774167913e-05,0.0,1.015097182222841e-05,2.665049956390754e-05,0.0,Germany,DEU,bavaria,Linux-6.6.87.2-microsoft-standard-WSL2-x86_64-with-glibc2.41,3.9.25,3.2.0,16,AMD Ryzen 7 7700 8-Core Processor,10.9545,49.9282,30.906421661376953,machine,N,1.0,0.0,,</t>
  </si>
  <si>
    <t>2026-01-03T12:54:59,lexrank-school-DE,70b5f9a7-a355-4830-8ff4-c4a3ea20493f,5b0fa12a-3dd7-45bb-9766-cc326314d9f1,1.864248660000157,1.035488062974374e-05,5.554452499776969e-06,32.5,0.0,20.0,1.6828042616670144e-05,0.0,1.0353688922229293e-05,2.7181731538899436e-05,0.0,Germany,DEU,bavaria,Linux-6.6.87.2-microsoft-standard-WSL2-x86_64-with-glibc2.41,3.9.25,3.2.0,16,AMD Ryzen 7 7700 8-Core Processor,10.9545,49.9282,30.906421661376957,machine,N,1.0,0.0,,</t>
  </si>
  <si>
    <t>2026-01-03T12:55:19,lexrank-school-DE,76b31fd1-603d-4621-9bf6-cb05387b2dd2,5b0fa12a-3dd7-45bb-9766-cc326314d9f1,1.8230774530002236,1.012640547702831e-05,5.554566790546045e-06,32.5,0.0,20.0,1.645667574235606e-05,0.0,1.0125304772221475e-05,2.6581980514577533e-05,0.0,Germany,DEU,bavaria,Linux-6.6.87.2-microsoft-standard-WSL2-x86_64-with-glibc2.41,3.9.25,3.2.0,16,AMD Ryzen 7 7700 8-Core Processor,10.9545,49.9282,30.906421661376953,machine,N,1.0,0.0,,</t>
  </si>
  <si>
    <t>2026-01-03T12:55:31,lexrank-web-IT,3eec996d-ae45-4d4f-b4bb-5c4ccbba3820,5b0fa12a-3dd7-45bb-9766-cc326314d9f1,0.3212914560008357,1.7829212275770811e-06,5.5492332406512655e-06,32.5,0.0,20.0,2.898849795841822e-06,0.0,1.7813476777822265e-06,4.680197473624048e-06,0.0,Germany,DEU,bavaria,Linux-6.6.87.2-microsoft-standard-WSL2-x86_64-with-glibc2.41,3.9.25,3.2.0,16,AMD Ryzen 7 7700 8-Core Processor,10.9545,49.9282,30.906421661376957,machine,N,1.0,0.0,,</t>
  </si>
  <si>
    <t>2026-01-03T12:55:39,lexrank-web-IT,8192e507-bc2c-4083-9116-214b72ae6f03,5b0fa12a-3dd7-45bb-9766-cc326314d9f1,0.3065160250007466,1.7010468937894612e-06,5.549618144060553e-06,32.5,0.0,20.0,2.765685487505228e-06,0.0,1.699590516667134e-06,4.465276004172362e-06,0.0,Germany,DEU,bavaria,Linux-6.6.87.2-microsoft-standard-WSL2-x86_64-with-glibc2.41,3.9.25,3.2.0,16,AMD Ryzen 7 7700 8-Core Processor,10.9545,49.9282,30.906421661376953,machine,N,1.0,0.0,,</t>
  </si>
  <si>
    <t>2026-01-03T12:55:48,lexrank-web-IT,be589d96-7bdf-493a-b25d-032bf5669d5f,5b0fa12a-3dd7-45bb-9766-cc326314d9f1,0.32434885499969823,1.799598503491532e-06,5.548342396624789e-06,32.5,0.0,20.0,2.9257729854041124e-06,0.0,1.7982026111086373e-06,4.72397559651275e-06,0.0,Germany,DEU,bavaria,,,Linux-6.6.87.2-microsoft-standard-WSL2-x86_64-with-glibc2.41,3.9.25,3.2.0,16,AMD Ryzen 7 7700 8-Core Processor,,,10.9545,49.9282,30.906421661376953,machine,N,1.0,0.0</t>
  </si>
  <si>
    <t>2026-01-02T12:20:58,mlongt5-emails,3078d73a-a66a-4fff-9caa-3c74fc56687f,5b0fa12a-3dd7-45bb-9766-cc326314d9f1,204.67807675100084,0.001137057425396925,5.555345464674272e-06,32.5,0.0,20.0,0.0018477525802485903,0.0,0.0011370418163833163,0.0029847943966319073,0.0,Germany,DEU,bavaria,,,Linux-6.6.87.2-microsoft-standard-WSL2-x86_64-with-glibc2.41,3.9.25,3.2.0,16,AMD Ryzen 7 7700 8-Core Processor,,,10.9545,49.9282,30.906421661376953,machine,N,1.0,0.0</t>
  </si>
  <si>
    <t>2026-01-02T13:07:11,mlongt5-emails,f8b240f9-244e-4f1f-9cd2-a5ff63bd705f,5b0fa12a-3dd7-45bb-9766-cc326314d9f1,198.880584044,0.0011048452071494167,5.555319602767169e-06,32.5,0.0,20.0,0.001795409760913852,0.0,0.001104827034333337,0.002900236795247189,0.0,Germany,DEU,bavaria,Linux-6.6.87.2-microsoft-standard-WSL2-x86_64-with-glibc2.41,3.9.25,3.2.0,16,AMD Ryzen 7 7700 8-Core Processor,10.9545,49.9282,30.906421661376953,machine,N,1.0,0.0,,</t>
  </si>
  <si>
    <t>2026-01-02T13:57:25,mlongt5-emails,b0a15f9a-b14b-4191-bf1a-04f5bf0acc0b,5b0fa12a-3dd7-45bb-9766-cc326314d9f1,201.70915290300036,0.0011205603015860867,5.555326991655909e-06,32.5,0.0,20.0,0.001820945323726394,0.0,0.0011205438522444335,0.002941489175970827,0.0,Germany,DEU,bavaria,,,Linux-6.6.87.2-microsoft-standard-WSL2-x86_64-with-glibc2.41,3.9.25,3.2.0,16,AMD Ryzen 7 7700 8-Core Processor,,,10.9545,49.9282,30.906421661376953,machine,N,1.0,0.0</t>
  </si>
  <si>
    <t>2026-01-03T11:41:56,mlongt5-emails,58cadb54-9733-489a-bd04-c09343ab5b5c,5b0fa12a-3dd7-45bb-9766-cc326314d9f1,60.09136946199942,0.0006803646738345331,1.1322169554893938e-05,32.5,67.76607465731911,20.0,0.0005424468359284611,0.000909717116662101,0.0003338044785277816,0.001785968431118344,0.0,Germany,DEU,bavaria,Linux-6.6.87.2-microsoft-standard-WSL2-x86_64-with-glibc2.41,3.9.25,3.2.0,16,AMD Ryzen 7 7700 8-Core Processor,10.9545,49.9282,30.906421661376953,machine,N,1.0,0.0,,,1.0,1 x NVIDIA GeForce RTX 5070 Ti</t>
  </si>
  <si>
    <t>2026-01-03T12:19:41,mlongt5-emails,e1257d68-27f0-47be-9d5a-8c88d4af7b50,5b0fa12a-3dd7-45bb-9766-cc326314d9f1,65.59240159399997,0.0007453041066781811,1.1362659219148906e-05,32.5,57.992099385622396,20.0,0.000592112115526379,0.0009999566332979937,0.0003643667589277761,0.0019564355077521488,0.0,Germany,DEU,bavaria,Linux-6.6.87.2-microsoft-standard-WSL2-x86_64-with-glibc2.41,3.9.25,3.2.0,16,AMD Ryzen 7 7700 8-Core Processor,10.9545,49.9282,30.906421661376953,machine,N,1.0,0.0,1.0,1 x NVIDIA GeForce RTX 5070 Ti,,</t>
  </si>
  <si>
    <t>2026-01-03T12:21:01,mlongt5-emails,5b5af789-f0ef-4da1-b855-4ecd4fff52e3,5b0fa12a-3dd7-45bb-9766-cc326314d9f1,59.07512757400036,0.000697906098222885,1.1813873738125307e-05,32.5,59.493054269460956,20.0,0.0005332830492708215,0.0009705660542299599,0.00032816585442777875,0.0018320149579285601,0.0,Germany,DEU,bavaria,Linux-6.6.87.2-microsoft-standard-WSL2-x86_64-with-glibc2.41,3.9.25,3.2.0,16,AMD Ryzen 7 7700 8-Core Processor,10.9545,49.9282,30.906421661376953,machine,N,1.0,0.0,1.0,1 x NVIDIA GeForce RTX 5070 Ti,,</t>
  </si>
  <si>
    <t>2026-01-03T09:08:03,mlongt5-news-en,5548f7ec-7bc5-427c-bcba-62cc66251f9e,5b0fa12a-3dd7-45bb-9766-cc326314d9f1,135.960194999,0.0007553009126173054,5.5553091301675514e-06,32.5,0.0,20.0,0.0012273907591923614,0.0,0.0007552865281611112,0.0019826772873534726,0.0,Germany,DEU,bavaria,,,Linux-6.6.87.2-microsoft-standard-WSL2-x86_64-with-glibc2.41,3.9.25,3.2.0,16,AMD Ryzen 7 7700 8-Core Processor,,,10.9545,49.9282,30.906421661376953,machine,N,1.0,0.0</t>
  </si>
  <si>
    <t>2026-01-03T09:13:31,mlongt5-news-en,7e00d71a-01f7-43d1-aba5-901f88b3d01b,5b0fa12a-3dd7-45bb-9766-cc326314d9f1,134.73338721,0.0007484921149035096,5.555357364666299e-06,32.5,0.0,20.0,0.0012163213750638895,0.0,0.0007484827065833337,0.001964804081647223,0.0,Germany,DEU,bavaria,Linux-6.6.87.2-microsoft-standard-WSL2-x86_64-with-glibc2.41,3.9.25,3.2.0,16,AMD Ryzen 7 7700 8-Core Processor,10.9545,49.9282,30.906421661376953,machine,N,1.0,0.0,,</t>
  </si>
  <si>
    <t>2026-01-03T09:17:59,mlongt5-news-en,e7665a04-6204-47ff-b378-9b1c8a4ac192,5b0fa12a-3dd7-45bb-9766-cc326314d9f1,135.835073534,0.0007546071969392982,5.55531923609124e-06,32.5,0.0,20.0,0.0012262616839506938,0.0,0.0007545945883666656,0.0019808562723173597,0.0,Germany,DEU,bavaria,,,Linux-6.6.87.2-microsoft-standard-WSL2-x86_64-with-glibc2.41,3.9.25,3.2.0,16,AMD Ryzen 7 7700 8-Core Processor,,,10.9545,49.9282,30.906421661376953,machine,N,1.0,0.0</t>
  </si>
  <si>
    <t>2026-01-03T12:22:13,mlongt5-news-en,8fb1be1d-5ab3-4d40-96e4-bff4d0da7419,5b0fa12a-3dd7-45bb-9766-cc326314d9f1,52.05573728800118,0.0005788970963864,1.1120716496314584e-05,32.5,55.61738040596505,20.0,0.0004699142405027,0.000760530330646,0.0002891698044555,0.0015196143756043,0.0,Germany,DEU,bavaria,Linux-6.6.87.2-microsoft-standard-WSL2-x86_64-with-glibc2.41,3.9.25,3.2.0,16,AMD Ryzen 7 7700 8-Core Processor,10.9545,49.9282,30.90642166137696,machine,N,1.0,0.0,1.0,1 x NVIDIA GeForce RTX 5070 Ti,,</t>
  </si>
  <si>
    <t>2026-01-03T12:23:23,mlongt5-news-en,1ee1f67c-5df5-46b6-8c5e-cdbb1fd457e6,5b0fa12a-3dd7-45bb-9766-cc326314d9f1,52.57956245399873,0.0005853955876372536,1.1133519571400191e-05,32.5,56.24105228636607,20.0,0.00047461243996113405,0.0007699986715541396,0.00029206191023890317,0.0015366730217541767,0.0,Germany,DEU,bavaria,Linux-6.6.87.2-microsoft-standard-WSL2-x86_64-with-glibc2.41,3.9.25,3.2.0,16,AMD Ryzen 7 7700 8-Core Processor,10.9545,49.9282,30.906421661376953,machine,N,1.0,0.0,1.0,1 x NVIDIA GeForce RTX 5070 Ti,,</t>
  </si>
  <si>
    <t>2026-01-03T12:27:11,mlongt5-news-en,feb0d88c-4950-461f-9796-4271bd8fa190,5b0fa12a-3dd7-45bb-9766-cc326314d9f1,53.293615247999696,0.0005975653883392569,1.1212701288109475e-05,32.5,55.730638351987395,20.0,0.0004810475001131952,0.000791550911018013,0.00029602053712776775,0.001568618948258976,0.0,Germany,DEU,bavaria,Linux-6.6.87.2-microsoft-standard-WSL2-x86_64-with-glibc2.41,3.9.25,3.2.0,16,AMD Ryzen 7 7700 8-Core Processor,10.9545,49.9282,30.906421661376953,machine,N,1.0,0.0,1.0,1 x NVIDIA GeForce RTX 5070 Ti,,</t>
  </si>
  <si>
    <t>2026-01-02T17:15:38,mlongt5-papers,790b977a-c3a6-40cb-aca8-b0cab842227c,5b0fa12a-3dd7-45bb-9766-cc326314d9f1,647.042239941,0.0035945779178290812,5.5553991624362105e-06,32.5,0.0,20.0,0.005841276520552779,0.0,0.0035945494876611084,0.00943582600821389,0.0,Germany,DEU,bavaria,Linux-6.6.87.2-microsoft-standard-WSL2-x86_64-with-glibc2.41,3.9.25,3.2.0,16,AMD Ryzen 7 7700 8-Core Processor,10.9545,49.9282,30.90642547607422,machine,N,1.0,0.0,,</t>
  </si>
  <si>
    <t>2026-01-02T18:11:46,mlongt5-papers,630c36f5-e708-4bb3-ad90-bcbe21d21c96,5b0fa12a-3dd7-45bb-9766-cc326314d9f1,646.024527902,0.0035889194721649524,5.55539196602978e-06,32.5,0.0,20.0,0.00583208521089999,0.0,0.003588887284611107,0.009420972495511097,0.0,Germany,DEU,bavaria,,,Linux-6.6.87.2-microsoft-standard-WSL2-x86_64-with-glibc2.41,3.9.25,3.2.0,16,AMD Ryzen 7 7700 8-Core Processor,,,10.9545,49.9282,30.90642547607422,machine,N,1.0,0.0</t>
  </si>
  <si>
    <t>2026-01-02T18:50:24,mlongt5-papers,f71eac7d-6f66-459e-bcd2-88c1019ced12,5b0fa12a-3dd7-45bb-9766-cc326314d9f1,645.6726700190002,0.0035869680572944416,5.5553970670446495e-06,32.5,0.0,20.0,0.0058289103560548415,0.0,0.0035869396434055696,0.009415849999460406,0.0,Germany,DEU,bavaria,Linux-6.6.87.2-microsoft-standard-WSL2-x86_64-with-glibc2.41,3.9.25,3.2.0,16,AMD Ryzen 7 7700 8-Core Processor,10.9545,49.9282,30.90642547607422,machine,N,1.0,0.0,,</t>
  </si>
  <si>
    <t>2026-01-03T12:29:05,mlongt5-papers,23615fb7-86d9-4bfe-aece-925464f84b24,5b0fa12a-3dd7-45bb-9766-cc326314d9f1,51.72417092099931,0.0007615175156812598,1.4722662579635356e-05,32.5,96.59766025706115,20.0,0.00046692046879652483,0.0012447473846860513,0.00028732811890555847,0.0019989959723881344,0.0,Germany,DEU,bavaria,Linux-6.6.87.2-microsoft-standard-WSL2-x86_64-with-glibc2.41,3.9.25,3.2.0,16,AMD Ryzen 7 7700 8-Core Processor,10.9545,49.9282,30.906421661376953,machine,N,1.0,0.0,1.0,1 x NVIDIA GeForce RTX 5070 Ti,,</t>
  </si>
  <si>
    <t>2026-01-03T12:30:22,mlongt5-papers,f075d126-05aa-4400-81e6-78455017a862,5b0fa12a-3dd7-45bb-9766-cc326314d9f1,51.35277835499983,0.0007587921165477041,1.4776067446676452e-05,32.5,96.81308930780887,20.0,0.00046356890828262997,0.0012430071055160585,0.00028526574115000285,0.0019918417549486915,0.0,Germany,DEU,bavaria,Linux-6.6.87.2-microsoft-standard-WSL2-x86_64-with-glibc2.41,3.9.25,3.2.0,16,AMD Ryzen 7 7700 8-Core Processor,10.9545,49.9282,30.906421661376953,machine,N,1.0,0.0,1.0,1 x NVIDIA GeForce RTX 5070</t>
  </si>
  <si>
    <t>2026-01-03T12:31:57,mlongt5-papers,cbf2837b-162f-412a-ba6b-2312223f00fd,5b0fa12a-3dd7-45bb-9766-cc326314d9f1,51.07951475200025,0.0007563014589165997,1.48063555926201e-05,32.5,96.81235865845889,20.0,0.0004610994686548667,0.001240458770144004,0.000283745499005565,0.0019853037378044355,0.0,Germany,DEU,bavaria,Linux-6.6.87.2-microsoft-standard-WSL2-x86_64-with-glibc2.41,3.9.25,3.2.0,16,AMD Ryzen 7 7700 8-Core Processor,10.9545,49.9282,30.906421661376953,machine,N,1.0,0.0,1.0,1 x NVIDIA GeForce RTX 5070 Ti,,</t>
  </si>
  <si>
    <t>2026-01-03T09:24:08,mlongt5-school,cd4aaf85-80ac-4745-9abd-ac6763151723,5b0fa12a-3dd7-45bb-9766-cc326314d9f1,304.54333901099994,0.0016918376434565767,5.555326374731409e-06,32.5,0.0,20.0,0.0027492918269194436,0.0,0.0016918097440388896,0.004441101570958332,0.0,Germany,DEU,bavaria,Linux-6.6.87.2-microsoft-standard-WSL2-x86_64-with-glibc2.41,3.9.25,3.2.0,16,AMD Ryzen 7 7700 8-Core Processor,10.9545,49.9282,30.906421661376953,machine,N,1.0,0.0,</t>
  </si>
  <si>
    <t>2026-01-03T10:14:58,mlongt5-school,8e4c81e5-f1ab-4f74-9a25-1f21f311d026,5b0fa12a-3dd7-45bb-9766-cc326314d9f1,297.90117303399984,0.0016549479422316186,5.555358931207489e-06,32.5,0.0,20.0,0.002689337732439586,0.0,0.0016549277675777878,0.004344265500017374,0.0,Germany,DEU,bavaria,,,Linux-6.6.87.2-microsoft-standard-WSL2-x86_64-with-glibc2.41,3.9.25,3.2.0,16,AMD Ryzen 7 7700 8-Core Processor,,,10.9545,49.9282,30.906421661376953,machine,N,1.0,0.0</t>
  </si>
  <si>
    <t>2026-01-03T11:00:16,mlongt5-school,f0a9aac9-49ab-49a6-b448-e0ceed9ca8db,5b0fa12a-3dd7-45bb-9766-cc326314d9f1,296.60119376999955,0.0016477225769951887,5.555347084249839e-06,32.5,0.0,20.0,0.002677600344313189,0.0,0.0016476984534166653,0.004325298797729856,0.0,Germany,DEU,bavaria,Linux-6.6.87.2-microsoft-standard-WSL2-x86_64-with-glibc2.41,3.9.25,3.2.0,16,AMD Ryzen 7 7700 8-Core Processor,10.9545,49.9282,30.906421661376953,machine,N,1.0,0.0,,</t>
  </si>
  <si>
    <t>2026-01-03T12:35:14,mlongt5-school,e61973bf-2176-4f13-ae25-e8a7e32b4fb0,5b0fa12a-3dd7-45bb-9766-cc326314d9f1,96.63197491999927,0.0011832432146345895,1.2244841478342813e-05,32.5,64.2369555212915,20.0,0.0008722419361951261,0.0016970408020759997,0.0005367501128499902,0.0031060328511211166,0.0,Germany,DEU,bavaria,Linux-6.6.87.2-microsoft-standard-WSL2-x86_64-with-glibc2.41,3.9.25,3.2.0,16,AMD Ryzen 7 7700 8-Core Processor,10.9545,49.9282,30.906421661376953,machine,N,1.0,0.0,1.0,1 x NVIDIA GeForce RTX 5070 Ti,,</t>
  </si>
  <si>
    <t>2026-01-03T12:37:31,mlongt5-school,28d5761f-230f-4da9-80f4-030724be552f,5b0fa12a-3dd7-45bb-9766-cc326314d9f1,87.30339552799887,0.0010947842141923808,1.2539995810830462e-05,32.5,66.59586279894235,20.0,0.00078810397923473,0.0016007479472638364,0.0004849745971722061,0.0028738265236707724,0.0,Germany,DEU,bavaria,Linux-6.6.87.2-microsoft-standard-WSL2-x86_64-with-glibc2.41,3.9.25,3.2.0,16,AMD Ryzen 7 7700 8-Core Processor,10.9545,49.9282,30.906421661376953,machine,N,1.0,0.0,1.0,1 x NVIDIA GeForce RTX 5070 Ti,,</t>
  </si>
  <si>
    <t>2026-01-03T12:39:56,mlongt5-school,d2e6bd06-a15d-4396-bead-a320ab5ed441,5b0fa12a-3dd7-45bb-9766-cc326314d9f1,92.97318483500021,0.0011653641208534714,1.2534411109199354e-05,32.5,67.7368347566177,20.0,0.0008392626467333191,0.0017033813627038707,0.0005164559271777763,0.003059099936614966,0.0,Germany,DEU,bavaria,Linux-6.6.87.2-microsoft-standard-WSL2-x86_64-with-glibc2.41,3.9.25,3.2.0,16,AMD Ryzen 7 7700 8-Core Processor,10.9545,49.9282,30.906421661376953,machine,N,1.0,0.0,1.0,1 x NVIDIA GeForce RTX 5070 Ti,,</t>
  </si>
  <si>
    <t>2026-01-03T11:34:35,mlongt5-web,2f27016c-13cd-4abc-9b45-460abd575db7,5b0fa12a-3dd7-45bb-9766-cc326314d9f1,109.39852720999988,0.0006077405920189769,5.555290436884644e-06,32.5,0.0,20.0,0.000987596819706227,0.0,0.000607732205149993,0.0015953290248562197,0.0,Germany,DEU,bavaria,,,Linux-6.6.87.2-microsoft-standard-WSL2-x86_64-with-glibc2.41,3.9.25,3.2.0,16,AMD Ryzen 7 7700 8-Core Processor,,,10.9545,49.9282,30.906421661376953,machine,N,1.0,0</t>
  </si>
  <si>
    <t>2026-01-03T11:37:07,mlongt5-web,ea077d23-2a8e-4376-88b9-3f2364113d72,5b0fa12a-3dd7-45bb-9766-cc326314d9f1,108.65243356800056,0.0006035973178553635,5.555304175286601e-06,32.5,0.0,20.0,0.00098086146936737,0.0,0.0006035913928333483,0.001584452862200718,0.0,Germany,DEU,bavaria,Linux-6.6.87.2-microsoft-standard-WSL2-x86_64-with-glibc2.41,3.9.25,3.2.0,16,AMD Ryzen 7 7700 8-Core Processor,10.9545,49.9282,30.906421661376953,machine,N,1.0,0.0,,</t>
  </si>
  <si>
    <t>2026-01-03T11:39:31,mlongt5-web,a7bfbbca-531b-40c2-a8f4-b80f61d8a129,5b0fa12a-3dd7-45bb-9766-cc326314d9f1,109.93620578699847,0.0006107276001823327,5.5552908690119624e-06,32.5,0.0,20.0,0.0009924522292298421,0.0,0.0006107177410610955,0.0016031699702909376,0.0,Germany,DEU,bavaria,,,Linux-6.6.87.2-microsoft-standard-WSL2-x86_64-with-glibc2.41,3.9.25,3.2.0,16,AMD Ryzen 7 7700 8-Core Processor,,,10.9545,49.9282,30.906421661376953,machine,N,1.0,0.0</t>
  </si>
  <si>
    <t>2026-01-03T12:41:25,mlongt5-web,1e6dbd6f-5a79-455a-9f32-cc202e907fd8,5b0fa12a-3dd7-45bb-9766-cc326314d9f1,44.28554132200043,0.0004771799466403801,1.0775073136642995e-05,32.5,49.86871274914813,20.0,0.00039977503914654256,0.0006068202076779938,0.00024600994188889066,0.0012526051887134272,0.0,Germany,DEU,bavaria,Linux-6.6.87.2-microsoft-standard-WSL2-x86_64-with-glibc2.41,3.9.25,3.2.0,16,AMD Ryzen 7 7700 8-Core Processor,10.9545,49.9282,30.906421661376953,machine,N,1.0,0.0,1.0,1 x NVIDIA GeForce RTX 5070 Ti,,</t>
  </si>
  <si>
    <t>2026-01-03T12:42:31,mlongt5-web,e4b6500e-3c40-4d97-9924-03cfbe3cc409,5b0fa12a-3dd7-45bb-9766-cc326314d9f1,41.6670535939993,0.0004452299596607512,1.0685419804314438e-05,32.5,51.260531855267836,20.0,0.0003761345384423534,0.0005611396155779103,0.0002314617946888878,0.0011687359487091513,0.0,Germany,DEU,bavaria,Linux-6.6.87.2-microsoft-standard-WSL2-x86_64-with-glibc2.41,3.9.25,3.2.0,16,AMD Ryzen 7 7700 8-Core Processor,10.9545,49.9282,30.906421661376953,machine,N,1.0,0.0,1.0,1 x NVIDIA GeForce RTX 5070 Ti,,</t>
  </si>
  <si>
    <t>2026-01-03T12:43:51,mlongt5-web,44839355-cc70-4fbc-af60-ec7236e4c2ee,5b0fa12a-3dd7-45bb-9766-cc326314d9f1,44.4355901229992,0.000477549518855138,1.0747005216612741e-05,32.5,49.476773806434586,20.0,0.0004011228103277555,0.000605613817823869,0.00024683869368887423,0.0012535753218404987,0.0,Germany,DEU,bavaria,Linux-6.6.87.2-microsoft-standard-WSL2-x86_64-with-glibc2.41,3.9.25,3.2.0,16,AMD Ryzen 7 7700 8-Core Processor,10.9545,49.9282,30.906421661376953,machine,N,1.0,0.0,1.0,1 x NVIDIA GeForce RTX 5070 Ti,,</t>
  </si>
  <si>
    <t>2026-01-03T17:44:57,mistralnemo-email-school-web,56024944-7349-483b-9137-4d5d12fb849b,5b0fa12a-3dd7-45bb-9766-cc326314d9f1,415.37274747799995,0.002307570873766769,5.555421937952221e-06,32.5,0.0,20.0,0.0037498513894923657,0.0,0.002307560012966668,0.006057411402459034,0.0,Germany,DEU,bavaria,,,Linux-6.6.87.2-microsoft-standard-WSL2-x86_64-with-glibc2.39,3.12.3,3.2.0,16,AMD Ryzen 7 7700 8-Core Processor,,,10.9545,49.9282,30.90642547607422,machine,N,1.0,0.0</t>
  </si>
  <si>
    <t>2026-01-03T17:53:11,mistralnemo-email-school-web,9e3eeffa-7dc3-42be-97f7-cd1e8ed537be,5b0fa12a-3dd7-45bb-9766-cc326314d9f1,404.988713921,0.0022498850429790085,5.555426523362049e-06,32.5,0.0,20.0,0.0036561100467937518,0.0,0.0022498751034333363,0.005905985150227086,0.0,Germany,DEU,bavaria,Linux-6.6.87.2-microsoft-standard-WSL2-x86_64-with-glibc2.39,3.12.3,3.2.0,16,AMD Ryzen 7 7700 8-Core Processor,10.9545,49.9282,30.90642547607422,machine,N,1.0,0.0,,</t>
  </si>
  <si>
    <t>2026-01-03T18:02:18,mistralnemo-email-school-web,b06147d0-bc49-4d9a-a9f7-79f187d8da97,5b0fa12a-3dd7-45bb-9766-cc326314d9f1,402.66210186800004,0.0022369572381460198,5.555420358083103e-06,32.5,0.0,20.0,0.0036351047574923645,0.0,0.0022369446929499997,0.005872049450442367,0.0,Germany,DEU,bavaria,,,Linux-6.6.87.2-microsoft-standard-WSL2-x86_64-with-glibc2.39,3.12.3,3.2.0,16,AMD Ryzen 7 7700 8-Core Processor,,,10.9545,49.9282,30.90642547607422,machine,N,1.0,0.0</t>
  </si>
  <si>
    <t>2026-01-04T17:22:19,mistralnemo-email-school-web,a1e5505a-4cc7-4c37-896b-0284f3d6ff7e,5b0fa12a-3dd7-45bb-9766-cc326314d9f1,10.069847930999913,0.0002019717448043878,2.0057079926958984e-05,32.5,137.05239026002528,20.0,9.090226537708309e-05,0.00038333891778186135,5.593796057222184e-05,0.0005301791437311663,0.0,Germany,DEU,bavaria,Linux-6.6.87.2-microsoft-standard-WSL2-x86_64-with-glibc2.39,3.12.3,3.2.0,16,AMD Ryzen 7 7700 8-Core Processor,10.9545,49.9282,30.90642547607422,machine,N,1.0,0.0,,,1.0,1 x NVIDIA GeForce RTX 5070 Ti</t>
  </si>
  <si>
    <t>2026-01-04T17:23:02,mistralnemo-email-school-web,94243b71-9bff-4e94-b807-5746b213b443,5b0fa12a-3dd7-45bb-9766-cc326314d9f1,6.973992088999921,0.000182481296036349,2.6165974051530224e-05,32.5,194.79234044237774,20.0,6.29531852715269e-05,0.0003773247463041418,3.873846437222205e-05,0.00047901639594789076,0.0,Germany,DEU,bavaria,Linux-6.6.87.2-microsoft-standard-WSL2-x86_64-with-glibc2.39,3.12.3,3.2.0,16,AMD Ryzen 7 7700 8-Core Processor,10.9545,49.9282,30.90642547607422,machine,N,1.0,0.0,1.0,1 x NVIDIA GeForce RTX 5070 Ti,,</t>
  </si>
  <si>
    <t>2026-01-04T17:24:06,mistralnemo-email-school-web,5458a876-a515-46ea-9dc5-923300ef6b15,5b0fa12a-3dd7-45bb-9766-cc326314d9f1,8.595730393000053,0.00022710461431637964,2.642063023536925e-05,32.5,197.23456102369383,20.0,7.758174138541666e-05,0.0004708309322201121,4.7740664933333695e-05,0.0005961533385388624,0.0,Germany,DEU,bavaria,Linux-6.6.87.2-microsoft-standard-WSL2-x86_64-with-glibc2.39,3.12.3,3.2.0,16,AMD Ryzen 7 7700 8-Core Processor,10.9545,49.9282,30.90642547607422,machine,N,1.0,0.0,1.0,1 x NVIDIA GeForce RTX 5070 Ti,,</t>
  </si>
  <si>
    <t>2026-01-04T11:18:30,mistralnemo-news-papers,ebe054a0-36e0-476c-aab8-9a538bc690cf,5b0fa12a-3dd7-45bb-9766-cc326314d9f1,203.06208834399968,0.0011280964125469945,5.555426036178303e-06,32.5,0.0,20.0,0.0018331800777333159,0.0,0.001128091513149987,0.0029612715908833034,0.0,Germany,DEU,bavaria,Linux-6.6.87.2-microsoft-standard-WSL2-x86_64-with-glibc2.39,3.12.3,3.2.0,16,AMD Ryzen 7 7700 8-Core Processor,10.9545,49.9282,30.906421661376953,machine,N,1.0,0.0,,</t>
  </si>
  <si>
    <t>2026-01-04T11:27:29,mistralnemo-news-papers,e0e2eeac-40ca-4d4f-8b96-45e48fdc2411,5b0fa12a-3dd7-45bb-9766-cc326314d9f1,208.79405001000032,0.0011599393697336324,5.555423488734839e-06,32.5,0.0,20.0,0.0018849266397361212,0.0,0.001159933236188888,0.0030448598759250096,0.0,Germany,DEU,bavaria,,,Linux-6.6.87.2-microsoft-standard-WSL2-x86_64-with-glibc2.39,3.12.3,3.2.0,16,AMD Ryzen 7 7700 8-Core Processor,,,10.9545,49.9282,30.906421661376953,machine,N,1.0,0.0</t>
  </si>
  <si>
    <t>2026-01-04T11:31:22,mistralnemo-news-papers,5e0c4913-18e0-4591-8eab-b98fe7da40a1,5b0fa12a-3dd7-45bb-9766-cc326314d9f1,193.8423051740001,0.0010768737653106524,5.555411468843245e-06,32.5,0.0,20.0,0.0017499447161444378,0.0,0.0010768665853666587,0.002826811301511097,0.0,Germany,DEU,bavaria,Linux-6.6.87.2-microsoft-standard-WSL2-x86_64-with-glibc2.39,3.12.3,3.2.0,16,AMD Ryzen 7 7700 8-Core Processor,10.9545,49.9282,30.906421661376953,machine,N,1.0,0.0,,</t>
  </si>
  <si>
    <t>2026-01-04T17:29:53,mistralnemo-news-papers,be4b47c8-9d08-4416-913f-21bf6cc5e07d,5b0fa12a-3dd7-45bb-9766-cc326314d9f1,5.779872128000079,0.00015349826979469558,2.6557381615950774e-05,32.5,198.49492773465587,20.0,5.2173480910417585e-05,0.0003186569215918311,3.2105074055555686e-05,0.0004029354765578044,0.0,Germany,DEU,bavaria,Linux-6.6.87.2-microsoft-standard-WSL2-x86_64-with-glibc2.39,3.12.3,3.2.0,16,AMD Ryzen 7 7700 8-Core Processor,10.9545,49.9282,30.90642547607422,machine,N,1.0,0.0,1.0,1 x NVIDIA GeForce RTX 5070 Ti,,</t>
  </si>
  <si>
    <t>2026-01-04T17:30:23,mistralnemo-news-papers,4b7348d0-2497-4e7d-98fb-cfdc1356813d,5b0fa12a-3dd7-45bb-9766-cc326314d9f1,6.578213348999952,0.00017321594444306065,2.633176141503432e-05,32.5,196.35912982703792,20.0,5.938088826944529e-05,0.0003587738981298827,3.653990960555625e-05,0.0004546946960048842,0.0,Germany,DEU,bavaria,Linux-6.6.87.2-microsoft-standard-WSL2-x86_64-with-glibc2.39,3.12.3,3.2.0,16,AMD Ryzen 7 7700 8-Core Processor,10.9545,49.9282,30.90642547607422,machine,N,1.0,0.0,1.0,1 x NVIDIA GeForce RTX 5070 Ti,,</t>
  </si>
  <si>
    <t>2026-01-04T17:30:46,mistralnemo-news-papers,0950d08e-f3b8-44ce-8f42-3b4966d9dfea,5b0fa12a-3dd7-45bb-9766-cc326314d9f1,5.06527579700014,0.00013178276279869513,2.6016897811712873e-05,32.5,193.39172037863372,20.0,4.572194640000033e-05,0.00027207521765992837,2.81347503611111e-05,0.0003459319144210398,0.0,Germany,DEU,bavaria,Linux-6.6.87.2-microsoft-standard-WSL2-x86_64-with-glibc2.39,3.12.3,3.2.0,16,AMD Ryzen 7 7700 8-Core Processor,10.9545,49.9282,30.90642547607422,machine,N,1.0,0.0,1.0,1 x NVIDIA GeForce RTX 5070 Ti,,</t>
  </si>
  <si>
    <t>2026-01-04T11:48:18,mistralnemo-news-papers,a69c5aed-e65a-40e0-9453-aa918f164478,5b0fa12a-3dd7-45bb-9766-cc326314d9f1,938.4723285269993,0.005213609847246952,5.555422028724164e-06,32.5,0.0,20.0,0.008472226396472202,0.0,0.00521358498887221,0.013685811385344408,0.0,Germany,DEU,bavaria,,,Linux-6.6.87.2-microsoft-standard-WSL2-x86_64-with-glibc2.39,3.12.3,3.2.0,16,AMD Ryzen 7 7700 8-Core Processor,,,10.9545,49.9282,30.906421661376953,machine,N,1.0,0.0</t>
  </si>
  <si>
    <t>2026-01-04T12:14:23,mistralnemo-news-papers,a5fb75b5-3055-4bdc-8032-31d057d99a39,5b0fa12a-3dd7-45bb-9766-cc326314d9f1,1007.474643911999,0.005596936811522822,5.5554120844074605e-06,32.5,0.0,20.0,0.009095148282304804,0.0,0.005596902673261076,0.01469205095556588,0.0,Germany,DEU,bavaria,Linux-6.6.87.2-microsoft-standard-WSL2-x86_64-with-glibc2.39,3.12.3,3.2.0,16,AMD Ryzen 7 7700 8-Core Processor,10.9545,49.9282,30.906421661376953,machine,N,1.0,0.0,,</t>
  </si>
  <si>
    <t>2026-01-04T13:52:15,mistralnemo-news-papers,9289aff1-d541-4e5d-b54c-a97528a4730e,5b0fa12a-3dd7-45bb-9766-cc326314d9f1,914.0238929899988,0.005077793673519813,5.555427721817086e-06,32.5,0.0,20.0,0.008251518072507033,0.0,0.005077773628555608,0.013329291701062642,0.0,Germany,DEU,bavaria,,,Linux-6.6.87.2-microsoft-standard-WSL2-x86_64-with-glibc2.39,3.12.3,3.2.0,16,AMD Ryzen 7 7700 8-Core Processor,,,10.9545,49.9282,30.906421661376953,machine,N,1.0,0.0</t>
  </si>
  <si>
    <t>2026-01-04T17:31:29,mistralnemo-news-papers,5cae50a1-5542-4f62-bda9-4b5717194791,5b0fa12a-3dd7-45bb-9766-cc326314d9f1,12.603137505999939,0.0003702603264655863,2.9378424720774296e-05,32.5,225.24537748881647,20.0,0.00011372948889791622,0.0007882245194679172,6.998542322777818e-05,0.0009719394315936116,0.0,Germany,DEU,bavaria,Linux-6.6.87.2-microsoft-standard-WSL2-x86_64-with-glibc2.39,3.12.3,3.2.0,16,AMD Ryzen 7 7700 8-Core Processor,10.9545,49.9282,30.90642547607422,machine,N,1.0,0.0,1.0,1 x NVIDIA GeForce RTX 5070 Ti,,</t>
  </si>
  <si>
    <t>2026-01-04T17:32:57,mistralnemo-news-papers,3a310e9b-23b6-4e56-9b9b-908b6c7ad1b8,5b0fa12a-3dd7-45bb-9766-cc326314d9f1,13.566909862000102,0.0003984370875933657,2.9368300640764048e-05,32.5,225.11636683249307,20.0,0.0001224413111006958,0.0008481159562701013,7.534662446111169e-05,0.0010459038918319088,0.0,Germany,DEU,bavaria,Linux-6.6.87.2-microsoft-standard-WSL2-x86_64-with-glibc2.39,3.12.3,3.2.0,16,AMD Ryzen 7 7700 8-Core Processor,10.9545,49.9282,30.90642547607422,machine,N,1.0,0.0,1.0,1 x NVIDIA GeForce RTX 5070 Ti,,</t>
  </si>
  <si>
    <t>2026-01-04T17:33:32,mistralnemo-news-papers,496879b1-05ba-4df5-837a-8d235de5dba0,5b0fa12a-3dd7-45bb-9766-cc326314d9f1,11.468606793999925,0.0003360880935793772,2.9305049830046466e-05,32.5,224.44989340278514,20.0,0.0001035296021048601,0.0007149986275540865,6.370852996666625e-05,0.0008822367596256128,0.0,Germany,DEU,bavaria,Linux-6.6.87.2-microsoft-standard-WSL2-x86_64-with-glibc2.39,3.12.3,3.2.0,16,AMD Ryzen 7 7700 8-Core Processor,10.9545,49.9282,30.90642547607422,machine,N,1.0,0.0,1.0,1 x NVIDIA GeForce RTX 5070 Ti,,</t>
  </si>
  <si>
    <t>2026-01-03T18:26:30,mistralnemo-email-school-web,4fc5040a-d0ed-4b54-ad37-ac383e3f049a,5b0fa12a-3dd7-45bb-9766-cc326314d9f1,908.7715854000003,0.005048601238808547,5.5554127350783975e-06,32.5,0.0,20.0,0.008204093424131954,0.0,0.005048567656872234,0.013252661081004192,0.0,Germany,DEU,bavaria,Linux-6.6.87.2-microsoft-standard-WSL2-x86_64-with-glibc2.39,3.12.3,3.2.0,16,AMD Ryzen 7 7700 8-Core Processor,10.9545,49.9282,30.90642547607422,machine,N,1.0,0.0,,</t>
  </si>
  <si>
    <t>2026-01-03T19:13:04,mistralnemo-email-school-web,dde0ee85-c7f5-4500-bc9f-f53a84b87953,5b0fa12a-3dd7-45bb-9766-cc326314d9f1,898.3539509780003,0.0049907246654026,5.555410158734659e-06,32.5,0.0,20.0,0.008110049237125678,0.0,0.004990684889144443,0.013100734126270115,0.0,Germany,DEU,bavaria,,,Linux-6.6.87.2-microsoft-standard-WSL2-x86_64-with-glibc2.39,3.12.3,3.2.0,16,AMD Ryzen 7 7700 8-Core Processor,,,10.9545,49.9282,30.90642547607422,machine,N,1.0,0.0</t>
  </si>
  <si>
    <t>2026-01-03T19:55:03,mistralnemo-email-school-web,7ede50e0-e916-4e47-a0ee-39a1983e5a8d,5b0fa12a-3dd7-45bb-9766-cc326314d9f1,896.5649891929997,0.004980785071914346,5.555408845930468e-06,32.5,0.0,20.0,0.008093893761335407,0.0,0.004980748768955569,0.013074642530290972,0.0,Germany,DEU,bavaria,Linux-6.6.87.2-microsoft-standard-WSL2-x86_64-with-glibc2.39,3.12.3,3.2.0,16,AMD Ryzen 7 7700 8-Core Processor,10.9545,49.9282,30.90642547607422,machine,N,1.0,0.0,,</t>
  </si>
  <si>
    <t>2026-01-04T17:25:18,mistralnemo-email-school-web,ddf10d3c-252e-44db-bb73-ea05e89d5553,5b0fa12a-3dd7-45bb-9766-cc326314d9f1,38.73866524699997,0.0010809535202728829,2.7903736831939373e-05,32.5,212.04964801156325,20.0,0.00034970349438194433,0.002272619873650017,0.000215197357188889,0.00283752072522085,0.0,Germany,DEU,bavaria,Linux-6.6.87.2-microsoft-standard-WSL2-x86_64-with-glibc2.39,3.12.3,3.2.0,16,AMD Ryzen 7 7700 8-Core Processor,10.9545,49.9282,30.90642547607422,machine,N,1.0,0.0,1.0,1 x NVIDIA GeForce RTX 5070 Ti,,</t>
  </si>
  <si>
    <t>2026-01-04T17:26:07,mistralnemo-email-school-web,a59fc521-a0c5-4ec1-bf04-bfb95669412b,5b0fa12a-3dd7-45bb-9766-cc326314d9f1,34.858547373999954,0.0010001576040859087,2.8691889921721154e-05,32.5,222.0666213233385,20.0,0.0003146758673861103,0.00211711280479987,0.00019364144747777723,0.002625430119663758,0.0,Germany,DEU,bavaria,Linux-6.6.87.2-microsoft-standard-WSL2-x86_64-with-glibc2.39,3.12.3,3.2.0,16,AMD Ryzen 7 7700 8-Core Processor,10.9545,49.9282,30.90642547607422,machine,N,1.0,0.0,1.0,1 x NVIDIA GeForce RTX 5070 Ti,,</t>
  </si>
  <si>
    <t>2026-01-04T17:27:13,mistralnemo-email-school-web,1c0b3e6d-8c52-43f1-9fac-a24529abab91,5b0fa12a-3dd7-45bb-9766-cc326314d9f1,39.09897650200003,0.0011117210290495377,2.843350717870249e-05,32.5,217.00256675016885,20.0,0.00035295760087430527,0.00234812854516786,0.00021719979449999997,0.002918285940542165,0.0,Germany,DEU,bavaria,Linux-6.6.87.2-microsoft-standard-WSL2-x86_64-with-glibc2.39,3.12.3,3.2.0,16,AMD Ryzen 7 7700 8-Core Processor,10.9545,49.9282,30.90642547607422,machine,N,1.0,0.0,1.0,1 x NVIDIA GeForce RTX 5070 Ti,,</t>
  </si>
  <si>
    <t>2026-01-04T09:49:18,mistralnemo-email-school-web,d125d3ff-5de7-4a3a-9e18-766327cc96b0,5b0fa12a-3dd7-45bb-9766-cc326314d9f1,651.1473173349999,0.0036173922688448445,5.555412995710434e-06,32.5,0.0,20.0,0.0058783447625138895,0.0,0.003617369291416666,0.009495714053930553,0.0,Germany,DEU,bavaria,,,Linux-6.6.87.2-microsoft-standard-WSL2-x86_64-with-glibc2.39,3.12.3,3.2.0,16,AMD Ryzen 7 7700 8-Core Processor,,,10.9545,49.9282,30.906421661376953,machine,N,1.0,0.0</t>
  </si>
  <si>
    <t>2026-01-04T10:08:47,mistralnemo-email-school-web,4de9dce1-f1fe-4954-aefb-ef76c3a31b92,5b0fa12a-3dd7-45bb-9766-cc326314d9f1,651.742775749,0.0036206953302278327,5.555405391439643e-06,32.5,0.0,20.0,0.005883713379618754,0.0,0.0036206712646333354,0.009504384644252087,0.0,Germany,DEU,bavaria,Linux-6.6.87.2-microsoft-standard-WSL2-x86_64-with-glibc2.39,3.12.3,3.2.0,16,AMD Ryzen 7 7700 8-Core Processor,10.9545,49.9282,30.906421661376953,machine,N,1.0,0.0,,</t>
  </si>
  <si>
    <t>2026-01-04T10:31:06,mistralnemo-email-school-web,affa1f1d-6624-4fe0-9aac-1d6bc682e6a2,5b0fa12a-3dd7-45bb-9766-cc326314d9f1,658.940422099,0.0036606914812087905,5.555421034192988e-06,32.5,0.0,20.0,0.005948702180434728,0.0,0.0036606730163333324,0.009609375196768055,0.0,Germany,DEU,bavaria,,,Linux-6.6.87.2-microsoft-standard-WSL2-x86_64-with-glibc2.39,3.12.3,3.2.0,16,AMD Ryzen 7 7700 8-Core Processor,,,10.9545,49.9282,30.906421661376953,machine,N,1.0,0.0</t>
  </si>
  <si>
    <t>2026-01-04T17:28:01,mistralnemo-email-school-web,84b79175-b88a-4cda-9949-9414e6ea0849,5b0fa12a-3dd7-45bb-9766-cc326314d9f1,17.27743268200004,0.000479688861908511,2.7763897028998995e-05,32.5,218.57671604363355,20.0,0.0001559634203743047,0.0010072535835801144,9.597412850000007e-05,0.0012591911324544192,0.0,Germany,DEU,bavaria,Linux-6.6.87.2-microsoft-standard-WSL2-x86_64-with-glibc2.39,3.12.3,3.2.0,16,AMD Ryzen 7 7700 8-Core Processor,10.9545,49.9282,30.90642547607422,machine,N,1.0,0.0,1.0,1 x NVIDIA GeForce RTX 5070 Ti,,</t>
  </si>
  <si>
    <t>2026-01-04T17:28:40,mistralnemo-email-school-web,6d5f357e-06f5-4c7d-87f8-a48e34b6fb17,5b0fa12a-3dd7-45bb-9766-cc326314d9f1,17.592341056999885,0.0005034762830414859,2.8619061068120648e-05,32.5,235.85552611380686,20.0,0.00015880558672152839,0.0010651047409717673,9.772317549999976e-05,0.0013216335031932954,0.0,Germany,DEU,bavaria,Linux-6.6.87.2-microsoft-standard-WSL2-x86_64-with-glibc2.39,3.12.3,3.2.0,16,AMD Ryzen 7 7700 8-Core Processor,10.9545,49.9282,30.90642547607422,machine,N,1.0,0.0,1.0,1 x NVIDIA GeForce RTX 5070 Ti,,</t>
  </si>
  <si>
    <t>2026-01-04T17:29:17,mistralnemo-email-school-web,ac805494-f8c1-4ff1-bc45-5d91a8088cf2,5b0fa12a-3dd7-45bb-9766-cc326314d9f1,15.810307271999818,0.0004424231709662352,2.7983211417387835e-05,32.5,236.4568939205992,20.0,0.000142716673152084,0.0009308290779959094,8.782233118888852e-05,0.001161368082336882,0.0,Germany,DEU,bavaria,Linux-6.6.87.2-microsoft-standard-WSL2-x86_64-with-glibc2.39,3.12.3,3.2.0,16,AMD Ryzen 7 7700 8-Core Processor,10.9545,49.9282,30.90642547607422,machine,N,1.0,0.0,1.0,1 x NVIDIA GeForce RTX 5070 Ti,,</t>
  </si>
  <si>
    <t xml:space="preserve">Processing took: 249.67241485 
[codecarbon INFO @ 07:02:25] Energy consumed for RAM : 0.001385 kWh. RAM Power : 20.0 W 
[codecarbon INFO @ 07:02:25] Delta energy consumed for CPU with constant : 0.000086 kWh, power : 32.5 W 
[codecarbon INFO @ 07:02:25] Energy consumed for All CPU : 0.002252 kWh 
[codecarbon INFO @ 07:02:25] 0.003637 kWh of electricity and 0.000000 L of water were used since the beginning. </t>
  </si>
  <si>
    <t xml:space="preserve">Processing took: 245.81752827900004 
[codecarbon INFO @ 07:07:07] Energy consumed for RAM : 0.001364 kWh. RAM Power : 20.0 W 
[codecarbon INFO @ 07:07:07] Delta energy consumed for CPU with constant : 0.000051 kWh, power : 32.5 W 
[codecarbon INFO @ 07:07:07] Energy consumed for All CPU : 0.002217 kWh 
[codecarbon INFO @ 07:07:07] 0.003581 kWh of electricity and 0.000000 L of water were used since the beginning. </t>
  </si>
  <si>
    <t xml:space="preserve">Processing took: 241.45130958999994 
[codecarbon INFO @ 07:11:40] Energy consumed for RAM : 0.001339 kWh. RAM Power : 20.0 W 
[codecarbon INFO @ 07:11:40] Delta energy consumed for CPU with constant : 0.000012 kWh, power : 32.5 W 
[codecarbon INFO @ 07:11:40] Energy consumed for All CPU : 0.002178 kWh 
[codecarbon INFO @ 07:11:40] 0.003517 kWh of electricity and 0.000000 L of water were used since the beginning. </t>
  </si>
  <si>
    <t xml:space="preserve">Processing took: 107.14623553000001 
[codecarbon INFO @ 07:13:58] Energy consumed for RAM : 0.000593 kWh. RAM Power : 20.0 W 
[codecarbon INFO @ 07:13:58] Delta energy consumed for CPU with constant : 0.000019 kWh, power : 32.5 W 
[codecarbon INFO @ 07:13:58] Energy consumed for All CPU : 0.000965 kWh 
[codecarbon INFO @ 07:13:58] 0.001559 kWh of electricity and 0.000000 L of water were used since the beginning. </t>
  </si>
  <si>
    <t xml:space="preserve">Processing took: 109.60390916999995 
[codecarbon INFO @ 07:16:19] Energy consumed for RAM : 0.000608 kWh. RAM Power : 20.0 W 
[codecarbon INFO @ 07:16:19] Delta energy consumed for CPU with constant : 0.000041 kWh, power : 32.5 W 
[codecarbon INFO @ 07:16:19] Energy consumed for All CPU : 0.000988 kWh 
[codecarbon INFO @ 07:16:19] 0.001596 kWh of electricity and 0.000000 L of water were used since the beginning. </t>
  </si>
  <si>
    <t xml:space="preserve">Processing took: 111.15741396800013 
[codecarbon INFO @ 07:20:42] Energy consumed for RAM : 0.000616 kWh. RAM Power : 20.0 W 
[codecarbon INFO @ 07:20:42] Delta energy consumed for CPU with constant : 0.000055 kWh, power : 32.5 W 
[codecarbon INFO @ 07:20:42] Energy consumed for All CPU : 0.001002 kWh 
[codecarbon INFO @ 07:20:42] 0.001618 kWh of electricity and 0.000000 L of water were used since the beginning. </t>
  </si>
  <si>
    <t xml:space="preserve">Processing took: 9337.724694269 
[codecarbon INFO @ 09:58:15] Energy consumed for RAM : 0.051874 kWh. RAM Power : 20.0 W 
[codecarbon INFO @ 09:58:15] Delta energy consumed for CPU with constant : 0.000067 kWh, power : 32.5 W 
[codecarbon INFO @ 09:58:15] Energy consumed for All CPU : 0.084298 kWh 
[codecarbon INFO @ 09:58:15] 0.136171 kWh of electricity and 0.000000 L of water were used since the beginning. </t>
  </si>
  <si>
    <t xml:space="preserve">Processing took: 9288.023385828 
[codecarbon INFO @ 10:51:46] Energy consumed for RAM : 0.051598 kWh. RAM Power : 20.0 W 
[codecarbon INFO @ 10:51:46] Delta energy consumed for CPU with constant : 0.000024 kWh, power : 32.5 W 
[codecarbon INFO @ 10:51:46] Energy consumed for All CPU : 0.083849 kWh 
[codecarbon INFO @ 10:51:46] 0.135447 kWh of electricity and 0.000000 L of water were used since the beginning. </t>
  </si>
  <si>
    <t xml:space="preserve">Processing took: 9288.453164872 
[codecarbon INFO @ 17:33:52] Energy consumed for RAM : 0.051600 kWh. RAM Power : 20.0 W 
[codecarbon INFO @ 17:33:52] Delta energy consumed for CPU with constant : 0.000029 kWh, power : 32.5 W 
[codecarbon INFO @ 17:33:52] Energy consumed for All CPU : 0.083853 kWh 
[codecarbon INFO @ 17:33:52] 0.135453 kWh of electricity and 0.000000 L of water were used since the beginning. </t>
  </si>
  <si>
    <t xml:space="preserve">Processing took: 9354.709768441004 
[codecarbon INFO @ 20:20:05] Energy consumed for RAM : 0.051961 kWh. RAM Power : 20.0 W 
[codecarbon INFO @ 20:20:05] Delta energy consumed for CPU with constant : 0.000085 kWh, power : 32.5 W 
[codecarbon INFO @ 20:20:05] Energy consumed for All CPU : 0.084439 kWh 
[codecarbon INFO @ 20:20:05] Energy consumed for all GPUs : 0.019281 kWh. Total GPU Power : 7.517343776917958 W 
[codecarbon INFO @ 20:20:05] 0.155680 kWh of electricity and 0.000000 L of water were used since the beginning. </t>
  </si>
  <si>
    <t xml:space="preserve">Processing took: 9354.791696799002 
[codecarbon INFO @ 08:45:27] Energy consumed for RAM : 0.051963 kWh. RAM Power : 20.0 W 
[codecarbon INFO @ 08:45:27] Delta energy consumed for CPU with constant : 0.000085 kWh, power : 32.5 W 
[codecarbon INFO @ 08:45:27] Energy consumed for All CPU : 0.084442 kWh 
[codecarbon INFO @ 08:45:27] Energy consumed for all GPUs : 0.018950 kWh. Total GPU Power : 7.375855974020932 W 
[codecarbon INFO @ 08:45:27] 0.155355 kWh of electricity and 0.000000 L of water were used since the beginning. </t>
  </si>
  <si>
    <t xml:space="preserve">Processing took: 9354.804718522 
[codecarbon INFO @ 19:58:31] Energy consumed for RAM : 0.051963 kWh. RAM Power : 20.0 W 
[codecarbon INFO @ 19:58:31] Delta energy consumed for CPU with constant : 0.000086 kWh, power : 32.5 W 
[codecarbon INFO @ 19:58:31] Energy consumed for All CPU : 0.084441 kWh 
[codecarbon INFO @ 19:58:31] Energy consumed for all GPUs : 0.020151 kWh. Total GPU Power : 7.643663044624147 W 
[codecarbon INFO @ 19:58:31] 0.156555 kWh of electricity and 0.000000 L of water were used since the beginning. </t>
  </si>
  <si>
    <t xml:space="preserve">Processing took: 1333.4515658740002 
[codecarbon INFO @ 08:55:40] Energy consumed for RAM : 0.007408 kWh. RAM Power : 20.0 W 
[codecarbon INFO @ 08:55:40] Delta energy consumed for CPU with constant : 0.000121 kWh, power : 32.5 W 
[codecarbon INFO @ 08:55:40] Energy consumed for All CPU : 0.012038 kWh 
[codecarbon INFO @ 08:55:40] 0.019446 kWh of electricity and 0.000000 L of water were used since the beginning. </t>
  </si>
  <si>
    <t xml:space="preserve">Processing took: 1300.757136022 
[codecarbon INFO @ 09:35:14] Energy consumed for RAM : 0.007226 kWh. RAM Power : 20.0 W 
[codecarbon INFO @ 09:35:14] Delta energy consumed for CPU with constant : 0.000097 kWh, power : 32.5 W 
[codecarbon INFO @ 09:35:14] Energy consumed for All CPU : 0.011743 kWh 
[codecarbon INFO @ 09:35:14] 0.018969 kWh of electricity and 0.000000 L of water were used since the beginning. </t>
  </si>
  <si>
    <t xml:space="preserve">Processing took: 1309.8303103239996 
[codecarbon INFO @ 10:50:07] Energy consumed for RAM : 0.007277 kWh. RAM Power : 20.0 W 
[codecarbon INFO @ 10:50:07] Delta energy consumed for CPU with constant : 0.000043 kWh, power : 32.5 W 
[codecarbon INFO @ 10:50:07] Energy consumed for All CPU : 0.011825 kWh 
[codecarbon INFO @ 10:50:07] 0.019101 kWh of electricity and 0.000000 L of water were used since the beginning. </t>
  </si>
  <si>
    <t xml:space="preserve">Processing took: 463.79700680099995 
[codecarbon INFO @ 11:26:04] Energy consumed for RAM : 0.002576 kWh. RAM Power : 20.0 W 
[codecarbon INFO @ 11:26:04] Delta energy consumed for CPU with constant : 0.000124 kWh, power : 32.5 W 
[codecarbon INFO @ 11:26:04] Energy consumed for All CPU : 0.004187 kWh 
[codecarbon INFO @ 11:26:04] Energy consumed for all GPUs : 0.008255 kWh. Total GPU Power : 64.94234690296409 W 
[codecarbon INFO @ 11:26:04] 0.015018 kWh of electricity and 0.000000 L of water were used since the beginning. </t>
  </si>
  <si>
    <t xml:space="preserve">Processing took: 550.9162890929983 
[codecarbon INFO @ 11:36:37] Energy consumed for RAM : 0.003060 kWh. RAM Power : 20.0 W 
[codecarbon INFO @ 11:36:37] Delta energy consumed for CPU with constant : 0.000098 kWh, power : 32.5 W 
[codecarbon INFO @ 11:36:37] Energy consumed for All CPU : 0.004973 kWh 
[codecarbon INFO @ 11:36:37] Energy consumed for all GPUs : 0.009723 kWh. Total GPU Power : 61.62310632973537 W 
[codecarbon INFO @ 11:36:37] 0.017757 kWh of electricity and 0.000000 L of water were used since the beginning. </t>
  </si>
  <si>
    <t xml:space="preserve">Processing took: 480.42288081300103 
[codecarbon INFO @ 11:48:31] Energy consumed for RAM : 0.002669 kWh. RAM Power : 20.0 W 
[codecarbon INFO @ 11:48:31] Delta energy consumed for CPU with constant : 0.000004 kWh, power : 32.5 W 
[codecarbon INFO @ 11:48:31] Energy consumed for All CPU : 0.004337 kWh 
[codecarbon INFO @ 11:48:31] Energy consumed for all GPUs : 0.008658 kWh. Total GPU Power : 75.2176486357603 W 
[codecarbon INFO @ 11:48:31] 0.015663 kWh of electricity and 0.000000 L of water were used since the beginning. </t>
  </si>
  <si>
    <t xml:space="preserve">Processing took: 677.2112886100003 
[codecarbon INFO @ 12:02:21] Energy consumed for RAM : 0.003747 kWh. RAM Power : 20.0 W 
[codecarbon INFO @ 12:02:21] Delta energy consumed for CPU with constant : 0.000014 kWh, power : 32.5 W 
[codecarbon INFO @ 12:02:21] Energy consumed for All CPU : 0.006106 kWh 
[codecarbon INFO @ 12:02:21] Energy consumed for all GPUs : 0.008590 kWh. Total GPU Power : 61.21169991768854 W 
[codecarbon INFO @ 12:02:21] 0.018443 kWh of electricity and 0.000000 L of water were used since the beginning. </t>
  </si>
  <si>
    <t xml:space="preserve">Processing took: 695.9147750299999 
[codecarbon INFO @ 12:15:15] Energy consumed for RAM : 0.003860 kWh. RAM Power : 20.0 W 
[codecarbon INFO @ 12:15:15] Delta energy consumed for CPU with constant : 0.000049 kWh, power : 32.5 W 
[codecarbon INFO @ 12:15:15] Energy consumed for All CPU : 0.006277 kWh 
[codecarbon INFO @ 12:15:15] Energy consumed for all GPUs : 0.008608 kWh. Total GPU Power : 59.15690060460255 W 
[codecarbon INFO @ 12:15:15] 0.018745 kWh of electricity and 0.000000 L of water were used since the beginning. </t>
  </si>
  <si>
    <t xml:space="preserve">Processing took: 646.7621230559998 
[codecarbon INFO @ 12:28:24] Energy consumed for RAM : 0.003590 kWh. RAM Power : 20.0 W 
[codecarbon INFO @ 12:28:24] Delta energy consumed for CPU with constant : 0.000014 kWh, power : 32.5 W 
[codecarbon INFO @ 12:28:24] Energy consumed for All CPU : 0.005836 kWh 
[codecarbon INFO @ 12:28:24] Energy consumed for all GPUs : 0.007979 kWh. Total GPU Power : 69.6177676148867 W 
[codecarbon INFO @ 12:28:24] 0.017405 kWh of electricity and 0.000000 L of water were used since the beginning. </t>
  </si>
  <si>
    <t xml:space="preserve">Processing took: 453.0147070990024 
[codecarbon INFO @ 16:17:21] Energy consumed for RAM : 0.002517 kWh. RAM Power : 20.0 W 
[codecarbon INFO @ 16:17:21] Delta energy consumed for CPU with constant : 0.000027 kWh, power : 32.5 W 
[codecarbon INFO @ 16:17:21] Energy consumed for All CPU : 0.004090 kWh 
[codecarbon INFO @ 16:17:21] 0.006607 kWh of electricity and 0.000000 L of water were used since the beginning. </t>
  </si>
  <si>
    <t xml:space="preserve">Processing took: 443.5645115789994 
[codecarbon INFO @ 16:36:09] Energy consumed for RAM : 0.002464 kWh. RAM Power : 20.0 W 
[codecarbon INFO @ 16:36:09] Delta energy consumed for CPU with constant : 0.000077 kWh, power : 32.5 W 
[codecarbon INFO @ 16:36:09] Energy consumed for All CPU : 0.004005 kWh 
[codecarbon INFO @ 16:36:09] 0.006469 kWh of electricity and 0.000000 L of water were used since the beginning. </t>
  </si>
  <si>
    <t xml:space="preserve">Processing took: 261.1169736510019 
[codecarbon INFO @ 17:56:09] Energy consumed for RAM : 0.001451 kWh. RAM Power : 20.0 W 
[codecarbon INFO @ 17:56:09] Delta energy consumed for CPU with constant : 0.000055 kWh, power : 32.5 W 
[codecarbon INFO @ 17:56:09] Energy consumed for All CPU : 0.002357 kWh 
[codecarbon INFO @ 17:56:09] Energy consumed for all GPUs : 0.003272 kWh. Total GPU Power : 47.574764442061266 W 
[codecarbon INFO @ 17:56:09] 0.007080 kWh of electricity and 0.000000 L of water were used since the beginning. </t>
  </si>
  <si>
    <t xml:space="preserve">Processing took: 256.64626684200266 
[codecarbon INFO @ 18:32:24] Energy consumed for RAM : 0.001426 kWh. RAM Power : 20.0 W 
[codecarbon INFO @ 18:32:24] Delta energy consumed for CPU with constant : 0.000015 kWh, power : 32.5 W 
[codecarbon INFO @ 18:32:24] Energy consumed for All CPU : 0.002317 kWh 
[codecarbon INFO @ 18:32:24] Energy consumed for all GPUs : 0.003269 kWh. Total GPU Power : 52.52043995997233 W 
[codecarbon INFO @ 18:32:24] 0.007012 kWh of electricity and 0.000000 L of water were used since the beginning. </t>
  </si>
  <si>
    <t xml:space="preserve">Processing took: 257.2111658590002 
[codecarbon INFO @ 18:50:07] Energy consumed for RAM : 0.001429 kWh. RAM Power : 20.0 W 
[codecarbon INFO @ 18:50:07] Delta energy consumed for CPU with constant : 0.000020 kWh, power : 32.5 W 
[codecarbon INFO @ 18:50:07] Energy consumed for All CPU : 0.002322 kWh 
[codecarbon INFO @ 18:50:07] Energy consumed for all GPUs : 0.003295 kWh. Total GPU Power : 58.35560321556211 W 
[codecarbon INFO @ 18:50:07] 0.007046 kWh of electricity and 0.000000 L of water were used since the beginning. </t>
  </si>
  <si>
    <t xml:space="preserve">Processing took: 914.4456934320006 
[codecarbon INFO @ 16:09:16] Energy consumed for RAM : 0.005079 kWh. RAM Power : 20.0 W 
[codecarbon INFO @ 16:09:16] Delta energy consumed for CPU with constant : 0.000130 kWh, power : 32.5 W 
[codecarbon INFO @ 16:09:16] Energy consumed for All CPU : 0.008255 kWh 
[codecarbon INFO @ 16:09:16] 0.013334 kWh of electricity and 0.000000 L of water were used since the beginning. </t>
  </si>
  <si>
    <t xml:space="preserve">Processing took: 913.5758120209975 
[codecarbon INFO @ 16:27:45] Energy consumed for RAM : 0.005074 kWh. RAM Power : 20.0 W 
[codecarbon INFO @ 16:27:45] Delta energy consumed for CPU with constant : 0.000122 kWh, power : 32.5 W 
[codecarbon INFO @ 16:27:45] Energy consumed for All CPU : 0.008247 kWh 
[codecarbon INFO @ 16:27:45] 0.013321 kWh of electricity and 0.000000 L of water were used since the beginning. </t>
  </si>
  <si>
    <t xml:space="preserve">Processing took: 894.2128884800004 
[codecarbon INFO @ 16:42:59] Energy consumed for RAM : 0.004967 kWh. RAM Power : 20.0 W 
[codecarbon INFO @ 16:42:59] Delta energy consumed for CPU with constant : 0.000083 kWh, power : 32.5 W 
[codecarbon INFO @ 16:42:59] Energy consumed for All CPU : 0.008072 kWh 
[codecarbon INFO @ 16:42:59] 0.013039 kWh of electricity and 0.000000 L of water were used since the beginning. </t>
  </si>
  <si>
    <t xml:space="preserve">Processing took: 403.36262588200043 
[codecarbon INFO @ 19:19:20] Energy consumed for RAM : 0.002240 kWh. RAM Power : 20.0 W 
[codecarbon INFO @ 19:19:20] Delta energy consumed for CPU with constant : 0.000121 kWh, power : 32.5 W 
[codecarbon INFO @ 19:19:20] Energy consumed for All CPU : 0.003641 kWh 
[codecarbon INFO @ 19:19:20] Energy consumed for all GPUs : 0.005281 kWh. Total GPU Power : 52.59122665856618 W 
[codecarbon INFO @ 19:19:20] 0.011162 kWh of electricity and 0.000000 L of water were used since the beginning. </t>
  </si>
  <si>
    <t xml:space="preserve">Processing took: 402.71881100599785 
[codecarbon INFO @ 19:45:11] Energy consumed for RAM : 0.002235 kWh. RAM Power : 20.0 W 
[codecarbon INFO @ 19:45:11] Delta energy consumed for CPU with constant : 0.000114 kWh, power : 32.5 W 
[codecarbon INFO @ 19:45:11] Energy consumed for All CPU : 0.003634 kWh 
[codecarbon INFO @ 19:45:11] Energy consumed for all GPUs : 0.005238 kWh. Total GPU Power : 45.64791905759461 W 
[codecarbon INFO @ 19:45:11] 0.011107 kWh of electricity and 0.000000 L of water were used since the beginning. </t>
  </si>
  <si>
    <t xml:space="preserve">Processing took: 398.11551186699995 
[codecarbon INFO @ 11:08:39] Energy consumed for RAM : 0.002211 kWh. RAM Power : 20.0 W 
[codecarbon INFO @ 11:08:39] Delta energy consumed for CPU with constant : 0.000073 kWh, power : 32.5 W 
[codecarbon INFO @ 11:08:39] Energy consumed for All CPU : 0.003593 kWh 
[codecarbon INFO @ 11:08:39] Energy consumed for all GPUs : 0.005140 kWh. Total GPU Power : 46.818897093001034 W 
[codecarbon INFO @ 11:08:39] 0.010944 kWh of electricity and 0.000000 L of water were used since the beginning. </t>
  </si>
  <si>
    <t xml:space="preserve">Processing took: 559.8962103920003 
[codecarbon INFO @ 14:58:52] Energy consumed for RAM : 0.003110 kWh. RAM Power : 20.0 W 
[codecarbon INFO @ 14:58:52] Delta energy consumed for CPU with constant : 0.000044 kWh, power : 32.5 W 
[codecarbon INFO @ 14:58:52] Energy consumed for All CPU : 0.005055 kWh 
[codecarbon INFO @ 14:58:52] 0.008164 kWh of electricity and 0.000000 L of water were used since the beginning. </t>
  </si>
  <si>
    <t xml:space="preserve">Processing took: 560.2878403610011 
[codecarbon INFO @ 15:08:57] Energy consumed for RAM : 0.003113 kWh. RAM Power : 20.0 W 
[codecarbon INFO @ 15:08:57] Delta energy consumed for CPU with constant : 0.000045 kWh, power : 32.5 W 
[codecarbon INFO @ 15:08:57] Energy consumed for All CPU : 0.005058 kWh 
[codecarbon INFO @ 15:08:57] 0.008171 kWh of electricity and 0.000000 L of water were used since the beginning. </t>
  </si>
  <si>
    <t xml:space="preserve">Processing took: 581.7841292939993 
[codecarbon INFO @ 15:35:19] Energy consumed for RAM : 0.003229 kWh. RAM Power : 20.0 W 
[codecarbon INFO @ 15:35:19] Delta energy consumed for CPU with constant : 0.000095 kWh, power : 32.5 W 
[codecarbon INFO @ 15:35:19] Energy consumed for All CPU : 0.005249 kWh 
[codecarbon INFO @ 15:35:19] 0.008478 kWh of electricity and 0.000000 L of water were used since the beginning. </t>
  </si>
  <si>
    <t xml:space="preserve">Processing took: 417.11805439400007 
[codecarbon INFO @ 11:20:16] Energy consumed for RAM : 0.002314 kWh. RAM Power : 20.0 W 
[codecarbon INFO @ 11:20:16] Delta energy consumed for CPU with constant : 0.000104 kWh, power : 32.5 W 
[codecarbon INFO @ 11:20:16] Energy consumed for All CPU : 0.003764 kWh 
[codecarbon INFO @ 11:20:16] Energy consumed for all GPUs : 0.003917 kWh. Total GPU Power : 34.087905619208755 W 
[codecarbon INFO @ 11:20:16] 0.009995 kWh of electricity and 0.000000 L of water were used since the beginning. </t>
  </si>
  <si>
    <t xml:space="preserve">Processing took: 418.71529307699984 
[codecarbon INFO @ 11:49:57] Energy consumed for RAM : 0.002322 kWh. RAM Power : 20.0 W 
[codecarbon INFO @ 11:49:57] Delta energy consumed for CPU with constant : 0.000122 kWh, power : 32.5 W 
[codecarbon INFO @ 11:49:57] Energy consumed for All CPU : 0.003777 kWh 
[codecarbon INFO @ 11:49:57] Energy consumed for all GPUs : 0.003961 kWh. Total GPU Power : 34.90814537881809 W 
[codecarbon INFO @ 11:49:57] 0.010060 kWh of electricity and 0.000000 L of water were used since the beginning. </t>
  </si>
  <si>
    <t xml:space="preserve">Processing took: 421.1692828139994 
[codecarbon INFO @ 12:24:02] Energy consumed for RAM : 0.002335 kWh. RAM Power : 20.0 W 
[codecarbon INFO @ 12:24:02] Delta energy consumed for CPU with constant : 0.000005 kWh, power : 32.5 W 
[codecarbon INFO @ 12:24:02] Energy consumed for All CPU : 0.003800 kWh 
[codecarbon INFO @ 12:24:02] Energy consumed for all GPUs : 0.004101 kWh. Total GPU Power : 53.41562736667716 W 
[codecarbon INFO @ 12:24:02] 0.010236 kWh of electricity and 0.000000 L of water were used since the beginning. </t>
  </si>
  <si>
    <t xml:space="preserve">Processing took: 433.56834990599964 
[codecarbon INFO @ 16:53:41] Energy consumed for RAM : 0.002409 kWh. RAM Power : 20.0 W 
[codecarbon INFO @ 16:53:41] Delta energy consumed for CPU with constant : 0.000123 kWh, power : 32.5 W 
[codecarbon INFO @ 16:53:41] Energy consumed for All CPU : 0.003914 kWh 
[codecarbon INFO @ 16:53:41] 0.006323 kWh of electricity and 0.000000 L of water were used since the beginning. </t>
  </si>
  <si>
    <t xml:space="preserve">Processing took: 432.1768014750014 
[codecarbon INFO @ 17:24:00] Energy consumed for RAM : 0.002401 kWh. RAM Power : 20.0 W 
[codecarbon INFO @ 17:24:00] Delta energy consumed for CPU with constant : 0.000110 kWh, power : 32.5 W 
[codecarbon INFO @ 17:24:00] Energy consumed for All CPU : 0.003902 kWh 
[codecarbon INFO @ 17:24:00] 0.006303 kWh of electricity and 0.000000 L of water were used since the beginning. </t>
  </si>
  <si>
    <t xml:space="preserve">Processing took: 335.66627249500016 
[codecarbon INFO @ 13:43:53] Energy consumed for RAM : 0.001865 kWh. RAM Power : 20.0 W 
[codecarbon INFO @ 13:43:53] Delta energy consumed for CPU with constant : 0.000051 kWh, power : 32.5 W 
[codecarbon INFO @ 13:43:53] Energy consumed for All CPU : 0.003030 kWh 
[codecarbon INFO @ 13:43:53] Energy consumed for all GPUs : 0.003211 kWh. Total GPU Power : 36.19671990291584 W 
[codecarbon INFO @ 13:43:53] 0.008106 kWh of electricity and 0.000000 L of water were used since the beginning. </t>
  </si>
  <si>
    <t xml:space="preserve">Processing took: 321.02053726600025 
[codecarbon INFO @ 13:49:49] Energy consumed for RAM : 0.001783 kWh. RAM Power : 20.0 W 
[codecarbon INFO @ 13:49:49] Delta energy consumed for CPU with constant : 0.000055 kWh, power : 32.5 W 
[codecarbon INFO @ 13:49:49] Energy consumed for All CPU : 0.002898 kWh 
[codecarbon INFO @ 13:49:49] Energy consumed for all GPUs : 0.003175 kWh. Total GPU Power : 37.839968041094515 W 
[codecarbon INFO @ 13:49:49] 0.007857 kWh of electricity and 0.000000 L of water were used since the beginning. </t>
  </si>
  <si>
    <t xml:space="preserve">Processing took: 322.62657759600006 
[codecarbon INFO @ 20:47:38] Energy consumed for RAM : 0.001792 kWh. RAM Power : 20.0 W 
[codecarbon INFO @ 20:47:38] Delta energy consumed for CPU with constant : 0.000069 kWh, power : 32.5 W 
[codecarbon INFO @ 20:47:38] Energy consumed for All CPU : 0.002913 kWh 
[codecarbon INFO @ 20:47:38] Energy consumed for all GPUs : 0.003025 kWh. Total GPU Power : 37.36846067879747 W 
[codecarbon INFO @ 20:47:38] 0.007730 kWh of electricity and 0.000000 L of water were used since the beginning. </t>
  </si>
  <si>
    <t>Processing took: 7.572706120000021
[codecarbon INFO @ 20:50:04] Energy consumed for RAM : 0.000033 kWh. RAM Power : 20.0 W 
[codecarbon INFO @ 20:50:04] Delta energy consumed for CPU with constant : 0.000053 kWh, power : 32.5 W 
[codecarbon INFO @ 20:50:04] Energy consumed for All CPU : 0.000053 kWh 
[codecarbon INFO @ 20:50:04] 0.000086 kWh of electricity and 0.000000 L of water were used since the beginning.</t>
  </si>
  <si>
    <t xml:space="preserve">Processing took: 7.4775032150
[codecarbon INFO @ 20:50:53] Energy consumed for RAM : 0.000032 kWh. RAM Power : 20.0 W 
[codecarbon INFO @ 20:50:53] Delta energy consumed for CPU with constant : 0.000052 kWh, power : 32.5 W 
[codecarbon INFO @ 20:50:53] Energy consumed for All CPU : 0.000052 kWh 
[codecarbon INFO @ 20:50:53] 0.000084 kWh of electricity and 0.000000 L of water were used since the beginning. </t>
  </si>
  <si>
    <t xml:space="preserve">Processing took: 7.386645648000012
[codecarbon INFO @ 20:51:35] Energy consumed for RAM : 0.000032 kWh. RAM Power : 20.0 W 
[codecarbon INFO @ 20:51:35] Delta energy consumed for CPU with constant : 0.000051 kWh, power : 32.5 W 
[codecarbon INFO @ 20:51:35] Energy consumed for All CPU : 0.000051 kWh 
[codecarbon INFO @ 20:51:35] 0.000083 kWh of electricity and 0.000000 L of water were used since the beginning.  </t>
  </si>
  <si>
    <t xml:space="preserve">Processing took: 152.1280319970001
[codecarbon INFO @ 20:54:45] Energy consumed for RAM : 0.000836 kWh. RAM Power : 20.0 W 
[codecarbon INFO @ 20:54:45] Delta energy consumed for CPU with constant : 0.000004 kWh, power : 32.5 W 
[codecarbon INFO @ 20:54:45] Energy consumed for All CPU : 0.001358 kWh 
[codecarbon INFO @ 20:54:45] 0.002193 kWh of electricity and 0.000000 L of water were used since the beginning. </t>
  </si>
  <si>
    <t xml:space="preserve">Processing took: 152.8195237599998
[codecarbon INFO @ 20:57:31] Energy consumed for RAM : 0.000839 kWh. RAM Power : 20.0 W 
[codecarbon INFO @ 20:57:31] Delta energy consumed for CPU with constant : 0.000010 kWh, power : 32.5 W 
[codecarbon INFO @ 20:57:31] Energy consumed for All CPU : 0.001364 kWh 
[codecarbon INFO @ 20:57:31] 0.002204 kWh of electricity and 0.000000 L of water were used since the beginning. 
</t>
  </si>
  <si>
    <t xml:space="preserve">Processing took: 151.43776201799983
[codecarbon INFO @ 21:00:33] Energy consumed for RAM : 0.000832 kWh. RAM Power : 20.0 W 
[codecarbon INFO @ 21:00:33] Delta energy consumed for CPU with constant : 0.000133 kWh, power : 32.5 W 
[codecarbon INFO @ 21:00:33] Energy consumed for All CPU : 0.001352 kWh 
[codecarbon INFO @ 21:00:33] 0.002184 kWh of electricity and 0.000000 L of water were used since the beginning. </t>
  </si>
  <si>
    <t xml:space="preserve">Processing took: 52.632645152999885
[codecarbon INFO @ 21:02:03] Energy consumed for RAM : 0.000283 kWh. RAM Power : 20.0 W 
[codecarbon INFO @ 21:02:03] Delta energy consumed for CPU with constant : 0.000054 kWh, power : 32.5 W 
[codecarbon INFO @ 21:02:03] Energy consumed for All CPU : 0.000460 kWh 
[codecarbon INFO @ 21:02:03] Energy consumed for all GPUs : 0.000965 kWh. Total GPU Power : 71.3654968219972 W 
[codecarbon INFO @ 21:02:03] 0.001707 kWh of electricity and 0.000000 L of water were used since the beginning. </t>
  </si>
  <si>
    <t xml:space="preserve">Processing took: 60.62700823199975
[codecarbon INFO @ 21:03:21] Energy consumed for RAM : 0.000327 kWh. RAM Power : 20.0 W 
[codecarbon INFO @ 21:03:21] Delta energy consumed for CPU with constant : 0.000125 kWh, power : 32.5 W 
[codecarbon INFO @ 21:03:21] Energy consumed for All CPU : 0.000532 kWh 
[codecarbon INFO @ 21:03:21] Energy consumed for all GPUs : 0.001085 kWh. Total GPU Power : 68.56522961212853 W 
[codecarbon INFO @ 21:03:21] 0.001944 kWh of electricity and 0.000000 L of water were used since the beginning. </t>
  </si>
  <si>
    <t xml:space="preserve">Processing took: 51.939772680000
[codecarbon INFO @ 21:04:23] Energy consumed for RAM : 0.000279 kWh. RAM Power : 20.0 W 
[codecarbon INFO @ 21:04:23] Delta energy consumed for CPU with constant : 0.000047 kWh, power : 32.5 W 
[codecarbon INFO @ 21:04:23] Energy consumed for All CPU : 0.000454 kWh 
[codecarbon INFO @ 21:04:23] Energy consumed for all GPUs : 0.000996 kWh. Total GPU Power : 77.1667076860235 W 
[codecarbon INFO @ 21:04:23] 0.001729 kWh of electricity and 0.000000 L of water were used since the beginning. </t>
  </si>
  <si>
    <t xml:space="preserve">Processing took: 1688.54969389
[codecarbon INFO @ 09:48:31] Energy consumed for RAM : 0.009372 kWh. RAM Power : 20.0 W 
[codecarbon INFO @ 09:48:31] Delta energy consumed for CPU with constant : 0.000063 kWh, power : 32.5 W 
[codecarbon INFO @ 09:48:31] Energy consumed for All CPU : 0.015230 kWh 
[codecarbon INFO @ 09:48:31] 0.024602 kWh of electricity and 0.000000 L of water were used since the beginning. </t>
  </si>
  <si>
    <t xml:space="preserve">Processing took: 1717.0654570350007
[codecarbon INFO @ 11:03:00] Energy consumed for RAM : 0.009530 kWh. RAM Power : 20.0 W 
[codecarbon INFO @ 11:03:00] Delta energy consumed for CPU with constant : 0.000050 kWh, power : 32.5 W 
[codecarbon INFO @ 11:03:00] Energy consumed for All CPU : 0.015487 kWh 
[codecarbon INFO @ 11:03:00] 0.025018 kWh of electricity and 0.000000 L of water were used since the beginning. </t>
  </si>
  <si>
    <t xml:space="preserve">Processing took: 207.27799610700004
[codecarbon INFO @ 21:08:07] Energy consumed for RAM : 0.001142 kWh. RAM Power : 20.0 W 
[codecarbon INFO @ 21:08:07] Delta energy consumed for CPU with constant : 0.000095 kWh, power : 32.5 W 
[codecarbon INFO @ 21:08:07] Energy consumed for All CPU : 0.001856 kWh 
[codecarbon INFO @ 21:08:07] Energy consumed for all GPUs : 0.006476 kWh. Total GPU Power : 135.4313335023267 W 
[codecarbon INFO @ 21:08:07] 0.009473 kWh of electricity and 0.000000 L of water were used since the beginning. </t>
  </si>
  <si>
    <t xml:space="preserve">Processing took: 201.49484129700068
[codecarbon INFO @ 22:44:41] Energy consumed for RAM : 0.001111 kWh. RAM Power : 20.0 W 
[codecarbon INFO @ 22:44:41] Delta energy consumed for CPU with constant : 0.000044 kWh, power : 32.5 W 
[codecarbon INFO @ 22:44:41] Energy consumed for All CPU : 0.001805 kWh 
[codecarbon INFO @ 22:44:41] Energy consumed for all GPUs : 0.006318 kWh. Total GPU Power : 135.81664830932766 W 
[codecarbon INFO @ 22:44:41] 0.009233 kWh of electricity and 0.000000 L of water were used since the beginning. </t>
  </si>
  <si>
    <t xml:space="preserve">Processing took: 186.66586361900045
[codecarbon INFO @ 22:48:23] Energy consumed for RAM : 0.001028 kWh. RAM Power : 20.0 W 
[codecarbon INFO @ 22:48:23] Delta energy consumed for CPU with constant : 0.000046 kWh, power : 32.5 W 
[codecarbon INFO @ 22:48:23] Energy consumed for All CPU : 0.001671 kWh 
[codecarbon INFO @ 22:48:23] Energy consumed for all GPUs : 0.006198 kWh. Total GPU Power : 130.38322894443908 W 
[codecarbon INFO @ 22:48:23] 0.008898 kWh of electricity and 0.000000 L of water were used since the beginning. </t>
  </si>
  <si>
    <t xml:space="preserve">Processing took: 1069.3397629000028
[codecarbon INFO @ 11:25:18] Energy consumed for RAM : 0.005914 kWh. RAM Power : 20.0 W 
[codecarbon INFO @ 11:25:18] Delta energy consumed for CPU with constant : 0.002048 kWh, power : 520.0 W 
[codecarbon INFO @ 11:25:18] Energy consumed for All CPU : 0.153766 kWh 
[codecarbon INFO @ 11:25:18] Energy consumed for all GPUs : 0.015531 kWh. Total GPU Power : 48.68508222014822 W 
[codecarbon INFO @ 11:25:18] 0.175211 kWh of electricity used since the beginning. </t>
  </si>
  <si>
    <t xml:space="preserve">Processing took: 1105.6001656000008
[codecarbon INFO @ 12:27:58] Energy consumed for RAM : 0.006115 kWh. RAM Power : 20.0 W 
[codecarbon INFO @ 12:27:58] Delta energy consumed for CPU with constant : 0.000773 kWh, power : 520.0 W 
[codecarbon INFO @ 12:27:58] Energy consumed for All CPU : 0.158995 kWh 
[codecarbon INFO @ 12:27:59] Energy consumed for all GPUs : 0.015980 kWh. Total GPU Power : 46.13261082763641 W 
[codecarbon INFO @ 12:27:59] 0.181090 kWh of electricity used since the beginning. </t>
  </si>
  <si>
    <t xml:space="preserve">Processing took: 1125.2206520000036
[codecarbon INFO @ 13:24:48] Energy consumed for RAM : 0.006224 kWh. RAM Power : 20.0 W 
[codecarbon INFO @ 13:24:48] Delta energy consumed for CPU with constant : 0.001417 kWh, power : 520.0 W 
[codecarbon INFO @ 13:24:48] Energy consumed for All CPU : 0.161822 kWh 
[codecarbon INFO @ 13:24:48] Energy consumed for all GPUs : 0.016197 kWh. Total GPU Power : 49.847781054864306 W 
[codecarbon INFO @ 13:24:48] 0.184242 kWh of electricity used since the beginning. </t>
  </si>
  <si>
    <t xml:space="preserve">Processing took: 1.6461192970000411
[codecarbon INFO @ 12:52:04] Energy consumed for RAM : 0.000001 kWh. RAM Power : 20.0 W 
[codecarbon INFO @ 12:52:04] Delta energy consumed for CPU with constant : 0.000002 kWh, power : 32.5 W 
[codecarbon INFO @ 12:52:04] Energy consumed for All CPU : 0.000002 kWh 
[codecarbon INFO @ 12:52:04] 0.000003 kWh of electricity and 0.000000 L of water were used since the beginning. </t>
  </si>
  <si>
    <t xml:space="preserve">Processing took: 1.6690031729995098
[codecarbon INFO @ 12:52:30] Energy consumed for RAM : 0.000001 kWh. RAM Power : 20.0 W 
[codecarbon INFO @ 12:52:30] Delta energy consumed for CPU with constant : 0.000002 kWh, power : 32.5 W 
[codecarbon INFO @ 12:52:30] Energy consumed for All CPU : 0.000002 kWh 
[codecarbon INFO @ 12:52:30] 0.000003 kWh of electricity and 0.000000 L of water were used since the beginning. </t>
  </si>
  <si>
    <t xml:space="preserve">Processing took: 1.628966902000684
[codecarbon INFO @ 12:52:41] Energy consumed for RAM : 0.000001 kWh. RAM Power : 20.0 W 
[codecarbon INFO @ 12:52:41] Delta energy consumed for CPU with constant : 0.000002 kWh, power : 32.5 W 
[codecarbon INFO @ 12:52:41] Energy consumed for All CPU : 0.000002 kWh 
[codecarbon INFO @ 12:52:41] 0.000003 kWh of electricity and 0.000000 L of water were used since the beginning. </t>
  </si>
  <si>
    <t xml:space="preserve">Processing took: 1.5793668530004652
[codecarbon INFO @ 12:52:52] Energy consumed for RAM : 0.000001 kWh. RAM Power : 20.0 W 
[codecarbon INFO @ 12:52:52] Delta energy consumed for CPU with constant : 0.000001 kWh, power : 32.5 W 
[codecarbon INFO @ 12:52:52] Energy consumed for All CPU : 0.000001 kWh 
[codecarbon INFO @ 12:52:52] 0.000002 kWh of electricity and 0.000000 L of water were used since the beginning. </t>
  </si>
  <si>
    <t xml:space="preserve">Processing took: 1.5717955910004093
[codecarbon INFO @ 12:52:58] Energy consumed for RAM : 0.000001 kWh. RAM Power : 20.0 W 
[codecarbon INFO @ 12:52:58] Delta energy consumed for CPU with constant : 0.000001 kWh, power : 32.5 W 
[codecarbon INFO @ 12:52:58] Energy consumed for All CPU : 0.000001 kWh 
[codecarbon INFO @ 12:52:58] 0.000002 kWh of electricity and 0.000000 L of water were used since the beginning. </t>
  </si>
  <si>
    <t xml:space="preserve">Processing took: 1.560770889000196
[codecarbon INFO @ 12:53:08] Energy consumed for RAM : 0.000001 kWh. RAM Power : 20.0 W 
[codecarbon INFO @ 12:53:08] Delta energy consumed for CPU with constant : 0.000001 kWh, power : 32.5 W 
[codecarbon INFO @ 12:53:08] Energy consumed for All CPU : 0.000001 kWh 
[codecarbon INFO @ 12:53:08] 0.000002 kWh of electricity and 0.000000 L of water were used since the beginning. </t>
  </si>
  <si>
    <t xml:space="preserve">Processing took: 2.4423499219992664
[codecarbon INFO @ 12:53:20] Energy consumed for RAM : 0.000006 kWh. RAM Power : 20.0 W 
[codecarbon INFO @ 12:53:20] Delta energy consumed for CPU with constant : 0.000009 kWh, power : 32.5 W 
[codecarbon INFO @ 12:53:20] Energy consumed for All CPU : 0.000009 kWh 
[codecarbon INFO @ 12:53:20] 0.000014 kWh of electricity and 0.000000 L of water were used since the beginning. </t>
  </si>
  <si>
    <t xml:space="preserve">Processing took: 2.467384593999668
[codecarbon INFO @ 12:53:33] Energy consumed for RAM : 0.000006 kWh. RAM Power : 20.0 W 
[codecarbon INFO @ 12:53:33] Delta energy consumed for CPU with constant : 0.000009 kWh, power : 32.5 W 
[codecarbon INFO @ 12:53:33] Energy consumed for All CPU : 0.000009 kWh 
[codecarbon INFO @ 12:53:33] 0.000015 kWh of electricity and 0.000000 L of water were used since the beginning. </t>
  </si>
  <si>
    <t xml:space="preserve">Processing took: 2.4425850799998443
[codecarbon INFO @ 12:53:43] Energy consumed for RAM : 0.000005 kWh. RAM Power : 20.0 W 
[codecarbon INFO @ 12:53:43] Delta energy consumed for CPU with constant : 0.000009 kWh, power : 32.5 W 
[codecarbon INFO @ 12:53:43] Energy consumed for All CPU : 0.000009 kWh 
[codecarbon INFO @ 12:53:43] 0.000014 kWh of electricity and 0.000000 L of water were used since the beginning. </t>
  </si>
  <si>
    <t xml:space="preserve">Processing took: 3.295104724000339
[codecarbon INFO @ 12:53:55] Energy consumed for RAM : 0.000010 kWh. RAM Power : 20.0 W 
[codecarbon INFO @ 12:53:55] Delta energy consumed for CPU with constant : 0.000016 kWh, power : 32.5 W 
[codecarbon INFO @ 12:53:55] Energy consumed for All CPU : 0.000016 kWh 
[codecarbon INFO @ 12:53:55] 0.000027 kWh of electricity and 0.000000 L of water were used since the beginning. </t>
  </si>
  <si>
    <t xml:space="preserve">Processing took: 3.3424746330001653
[codecarbon INFO @ 12:54:59] Energy consumed for RAM : 0.000010 kWh. RAM Power : 20.0 W 
[codecarbon INFO @ 12:54:59] Delta energy consumed for CPU with constant : 0.000017 kWh, power : 32.5 W 
[codecarbon INFO @ 12:54:59] Energy consumed for All CPU : 0.000017 kWh 
[codecarbon INFO @ 12:54:59] 0.000027 kWh of electricity and 0.000000 L of water were used since the beginning. </t>
  </si>
  <si>
    <t xml:space="preserve">Processing took: 3.279536438998548
[codecarbon INFO @ 12:55:19] Energy consumed for RAM : 0.000010 kWh. RAM Power : 20.0 W 
[codecarbon INFO @ 12:55:19] Delta energy consumed for CPU with constant : 0.000016 kWh, power : 32.5 W 
[codecarbon INFO @ 12:55:19] Energy consumed for All CPU : 0.000016 kWh 
[codecarbon INFO @ 12:55:19] 0.000027 kWh of electricity and 0.000000 L of water were used since the beginning. </t>
  </si>
  <si>
    <t xml:space="preserve">Processing took: 1.7788308069993946
[codecarbon INFO @ 12:55:31] Energy consumed for RAM : 0.000002 kWh. RAM Power : 20.0 W 
[codecarbon INFO @ 12:55:31] Delta energy consumed for CPU with constant : 0.000003 kWh, power : 32.5 W 
[codecarbon INFO @ 12:55:31] Energy consumed for All CPU : 0.000003 kWh 
[codecarbon INFO @ 12:55:31] 0.000005 kWh of electricity and 0.000000 L of water were used since the beginning. </t>
  </si>
  <si>
    <t xml:space="preserve">Processing took: 1.759726973999932
[codecarbon INFO @ 12:55:39] Energy consumed for RAM : 0.000002 kWh. RAM Power : 20.0 W 
[codecarbon INFO @ 12:55:39] Delta energy consumed for CPU with constant : 0.000003 kWh, power : 32.5 W 
[codecarbon INFO @ 12:55:39] Energy consumed for All CPU : 0.000003 kWh 
[codecarbon INFO @ 12:55:39] 0.000004 kWh of electricity and 0.000000 L of water were used since the beginning. </t>
  </si>
  <si>
    <t xml:space="preserve">Processing took: 1.782118805000209
[codecarbon INFO @ 12:55:48] Energy consumed for RAM : 0.000002 kWh. RAM Power : 20.0 W 
[codecarbon INFO @ 12:55:48] Delta energy consumed for CPU with constant : 0.000003 kWh, power : 32.5 W 
[codecarbon INFO @ 12:55:48] Energy consumed for All CPU : 0.000003 kWh 
[codecarbon INFO @ 12:55:48] 0.000005 kWh of electricity and 0.000000 L of water were used since the beginning. </t>
  </si>
  <si>
    <t xml:space="preserve">Processing took: 206.20592684999974
[codecarbon INFO @ 12:20:58] Energy consumed for RAM : 0.001137 kWh. RAM Power : 20.0 W 
[codecarbon INFO @ 12:20:58] Delta energy consumed for CPU with constant : 0.000087 kWh, power : 32.5 W 
[codecarbon INFO @ 12:20:58] Energy consumed for All CPU : 0.001848 kWh 
[codecarbon INFO @ 12:20:58] 0.002985 kWh of electricity and 0.000000 L of water were used since the beginning. </t>
  </si>
  <si>
    <t xml:space="preserve">Processing took: 200.39336812300098
[codecarbon INFO @ 13:07:11] Energy consumed for RAM : 0.001105 kWh. RAM Power : 20.0 W 
[codecarbon INFO @ 13:07:11] Delta energy consumed for CPU with constant : 0.000035 kWh, power : 32.5 W 
[codecarbon INFO @ 13:07:11] Energy consumed for All CPU : 0.001795 kWh 
[codecarbon INFO @ 13:07:11] 0.002900 kWh of electricity and 0.000000 L of water were used since the beginning. </t>
  </si>
  <si>
    <t xml:space="preserve">Processing took: 203.21554292099972
[codecarbon INFO @ 13:57:25] Energy consumed for RAM : 0.001121 kWh. RAM Power : 20.0 W 
[codecarbon INFO @ 13:57:25] Delta energy consumed for CPU with constant : 0.000060 kWh, power : 32.5 W 
[codecarbon INFO @ 13:57:25] Energy consumed for All CPU : 0.001821 kWh 
[codecarbon INFO @ 13:57:25] 0.002941 kWh of electricity and 0.000000 L of water were used since the beginning. </t>
  </si>
  <si>
    <t xml:space="preserve">Processing took: 61.62081347499952
[codecarbon INFO @ 11:41:56] Energy consumed for RAM : 0.000334 kWh. RAM Power : 20.0 W 
[codecarbon INFO @ 11:41:56] Delta energy consumed for CPU with constant : 0.000001 kWh, power : 32.5 W 
[codecarbon INFO @ 11:41:56] Energy consumed for All CPU : 0.000542 kWh 
[codecarbon INFO @ 11:41:56] Energy consumed for all GPUs : 0.000910 kWh. Total GPU Power : 121.16969641762441 W 
[codecarbon INFO @ 11:41:56] 0.001786 kWh of electricity and 0.000000 L of water were used since the beginning. </t>
  </si>
  <si>
    <t xml:space="preserve">Processing took: 67.17833136599984
[codecarbon INFO @ 12:19:41] Energy consumed for RAM : 0.000364 kWh. RAM Power : 20.0 W 
[codecarbon INFO @ 12:19:41] Delta energy consumed for CPU with constant : 0.000050 kWh, power : 32.5 W 
[codecarbon INFO @ 12:19:41] Energy consumed for All CPU : 0.000592 kWh 
[codecarbon INFO @ 12:19:41] Energy consumed for all GPUs : 0.001000 kWh. Total GPU Power : 79.63518422266225 W 
[codecarbon INFO @ 12:19:41] 0.001956 kWh of electricity and 0.000000 L of water were used since the beginning. </t>
  </si>
  <si>
    <t xml:space="preserve">Processing took: 60.586046483000246
[codecarbon INFO @ 12:21:01] Energy consumed for RAM : 0.000328 kWh. RAM Power : 20.0 W 
[codecarbon INFO @ 12:21:01] Delta energy consumed for CPU with constant : 0.000127 kWh, power : 32.5 W 
[codecarbon INFO @ 12:21:01] Energy consumed for All CPU : 0.000533 kWh 
[codecarbon INFO @ 12:21:01] Energy consumed for all GPUs : 0.000971 kWh. Total GPU Power : 81.30309677133964 W 
[codecarbon INFO @ 12:21:01] 0.001832 kWh of electricity and 0.000000 L of water were used since the beginning. </t>
  </si>
  <si>
    <t xml:space="preserve">Processing took: 137.46931460599998
[codecarbon INFO @ 09:08:03] Energy consumed for RAM : 0.000755 kWh. RAM Power : 20.0 W 
[codecarbon INFO @ 09:08:03] Delta energy consumed for CPU with constant : 0.000009 kWh, power : 32.5 W 
[codecarbon INFO @ 09:08:03] Energy consumed for All CPU : 0.001227 kWh 
[codecarbon INFO @ 09:08:03] 0.001983 kWh of electricity and 0.000000 L of water were used since the beginning. </t>
  </si>
  <si>
    <t xml:space="preserve">Processing took: 136.53246336400002
[codecarbon INFO @ 09:13:31] Energy consumed for RAM : 0.000748 kWh. RAM Power : 20.0 W 
[codecarbon INFO @ 09:13:31] Delta energy consumed for CPU with constant : 0.000133 kWh, power : 32.5 W 
[codecarbon INFO @ 09:13:31] Energy consumed for All CPU : 0.001216 kWh 
[codecarbon INFO @ 09:13:31] 0.001965 kWh of electricity and 0.000000 L of water were used since the beginning. </t>
  </si>
  <si>
    <t xml:space="preserve">Processing took: 137.32291365900005
[codecarbon INFO @ 09:17:59] Energy consumed for RAM : 0.000755 kWh. RAM Power : 20.0 W 
[codecarbon INFO @ 09:17:59] Delta energy consumed for CPU with constant : 0.000007 kWh, power : 32.5 W 
[codecarbon INFO @ 09:17:59] Energy consumed for All CPU : 0.001226 kWh 
[codecarbon INFO @ 09:17:59] 0.001981 kWh of electricity and 0.000000 L of water were used since the beginning. </t>
  </si>
  <si>
    <t xml:space="preserve">Processing took: 53.56529023400071
[codecarbon INFO @ 12:22:13] Energy consumed for RAM : 0.000289 kWh. RAM Power : 20.0 W 
[codecarbon INFO @ 12:22:13] Delta energy consumed for CPU with constant : 0.000064 kWh, power : 32.5 W 
[codecarbon INFO @ 12:22:13] Energy consumed for All CPU : 0.000470 kWh 
[codecarbon INFO @ 12:22:13] Energy consumed for all GPUs : 0.000761 kWh. Total GPU Power : 75.38003080764268 W 
[codecarbon INFO @ 12:22:13] 0.001520 kWh of electricity and 0.000000 L of water were used since the beginning. 
</t>
  </si>
  <si>
    <t xml:space="preserve">Processing took: 54.08643446299902
[codecarbon INFO @ 12:23:23] Energy consumed for RAM : 0.000292 kWh. RAM Power : 20.0 W 
[codecarbon INFO @ 12:23:23] Delta energy consumed for CPU with constant : 0.000068 kWh, power : 32.5 W 
[codecarbon INFO @ 12:23:23] Energy consumed for All CPU : 0.000475 kWh 
[codecarbon INFO @ 12:23:23] Energy consumed for all GPUs : 0.000770 kWh. Total GPU Power : 81.09853724238877 W 
[codecarbon INFO @ 12:23:23] 0.001537 kWh of electricity and 0.000000 L of water were used since the beginning. </t>
  </si>
  <si>
    <t xml:space="preserve">Processing took: 54.799504927999806
[codecarbon INFO @ 12:27:11] Energy consumed for RAM : 0.000296 kWh. RAM Power : 20.0 W 
[codecarbon INFO @ 12:27:11] Delta energy consumed for CPU with constant : 0.000075 kWh, power : 32.5 W 
[codecarbon INFO @ 12:27:11] Energy consumed for All CPU : 0.000481 kWh 
[codecarbon INFO @ 12:27:11] Energy consumed for all GPUs : 0.000792 kWh. Total GPU Power : 73.61820481158773 W 
[codecarbon INFO @ 12:27:11] 0.001569 kWh of electricity and 0.000000 L of water were used since the beginning. </t>
  </si>
  <si>
    <t xml:space="preserve">Processing took: 648.791359998
[codecarbon INFO @ 17:15:38] Energy consumed for RAM : 0.003595 kWh. RAM Power : 20.0 W 
[codecarbon INFO @ 17:15:38] Delta energy consumed for CPU with constant : 0.000018 kWh, power : 32.5 W 
[codecarbon INFO @ 17:15:38] Energy consumed for All CPU : 0.005841 kWh 
[codecarbon INFO @ 17:15:38] 0.009436 kWh of electricity and 0.000000 L of water were used since the beginning. </t>
  </si>
  <si>
    <t xml:space="preserve">Processing took: 647.7420145369997
[codecarbon INFO @ 18:11:46] Energy consumed for RAM : 0.003589 kWh. RAM Power : 20.0 W 
[codecarbon INFO @ 18:11:46] Delta energy consumed for CPU with constant : 0.000009 kWh, power : 32.5 W 
[codecarbon INFO @ 18:11:46] Energy consumed for All CPU : 0.005832 kWh 
[codecarbon INFO @ 18:11:46] 0.009421 kWh of electricity and 0.000000 L of water were used since the beginning. </t>
  </si>
  <si>
    <t xml:space="preserve">Processing took: 647.4345751639994
[codecarbon INFO @ 18:50:24] Energy consumed for RAM : 0.003587 kWh. RAM Power : 20.0 W 
[codecarbon INFO @ 18:50:24] Delta energy consumed for CPU with constant : 0.000006 kWh, power : 32.5 W 
[codecarbon INFO @ 18:50:24] Energy consumed for All CPU : 0.005829 kWh 
[codecarbon INFO @ 18:50:24] 0.009416 kWh of electricity and 0.000000 L of water were used since the beginning. </t>
  </si>
  <si>
    <t xml:space="preserve">Processing took: 53.25609338599861
[codecarbon INFO @ 12:29:05] Energy consumed for RAM : 0.000287 kWh. RAM Power : 20.0 W 
[codecarbon INFO @ 12:29:05] Delta energy consumed for CPU with constant : 0.000061 kWh, power : 32.5 W 
[codecarbon INFO @ 12:29:05] Energy consumed for All CPU : 0.000467 kWh 
[codecarbon INFO @ 12:29:05] Energy consumed for all GPUs : 0.001245 kWh. Total GPU Power : 158.78801886865324 W 
[codecarbon INFO @ 12:29:05] 0.001999 kWh of electricity and 0.000000 L of water were used since the beginning. </t>
  </si>
  <si>
    <t xml:space="preserve">Processing took: 52.86640428000101
[codecarbon INFO @ 12:30:22] Energy consumed for RAM : 0.000285 kWh. RAM Power : 20.0 W 
[codecarbon INFO @ 12:30:22] Delta energy consumed for CPU with constant : 0.000057 kWh, power : 32.5 W 
[codecarbon INFO @ 12:30:22] Energy consumed for All CPU : 0.000464 kWh 
[codecarbon INFO @ 12:30:22] Energy consumed for all GPUs : 0.001243 kWh. Total GPU Power : 154.18722580553919 W 
[codecarbon INFO @ 12:30:22] 0.001992 kWh of electricity and 0.000000 L of water were used since the beginning. </t>
  </si>
  <si>
    <t xml:space="preserve">Processing took: 52.59601600899987
[codecarbon INFO @ 12:31:57] Energy consumed for RAM : 0.000284 kWh. RAM Power : 20.0 W 
[codecarbon INFO @ 12:31:57] Delta energy consumed for CPU with constant : 0.000055 kWh, power : 32.5 W 
[codecarbon INFO @ 12:31:57] Energy consumed for All CPU : 0.000461 kWh 
[codecarbon INFO @ 12:31:57] Energy consumed for all GPUs : 0.001240 kWh. Total GPU Power : 150.48994349996002 W 
[codecarbon INFO @ 12:31:57] 0.001985 kWh of electricity and 0.000000 L of water were used since the beginning. </t>
  </si>
  <si>
    <t xml:space="preserve">Processing took: 306.0255298149999
[codecarbon INFO @ 09:24:08] Energy consumed for RAM : 0.001692 kWh. RAM Power : 20.0 W 
[codecarbon INFO @ 09:24:08] Delta energy consumed for CPU with constant : 0.000041 kWh, power : 32.5 W 
[codecarbon INFO @ 09:24:08] Energy consumed for All CPU : 0.002749 kWh 
[codecarbon INFO @ 09:24:08] 0.004441 kWh of electricity and 0.000000 L of water were used since the beginning. </t>
  </si>
  <si>
    <t xml:space="preserve">Processing took: 299.4151079260005
[codecarbon INFO @ 10:14:58] Energy consumed for RAM : 0.001655 kWh. RAM Power : 20.0 W 
[codecarbon INFO @ 10:14:58] Delta energy consumed for CPU with constant : 0.000116 kWh, power : 32.5 W 
[codecarbon INFO @ 10:14:58] Energy consumed for All CPU : 0.002689 kWh 
[codecarbon INFO @ 10:14:58] 0.004344 kWh of electricity and 0.000000 L of water were used since the beginning. </t>
  </si>
  <si>
    <t xml:space="preserve">Processing took: 298.1257244589997
[codecarbon INFO @ 11:00:16] Energy consumed for RAM : 0.001648 kWh. RAM Power : 20.0 W 
[codecarbon INFO @ 11:00:16] Delta energy consumed for CPU with constant : 0.000105 kWh, power : 32.5 W 
[codecarbon INFO @ 11:00:16] Energy consumed for All CPU : 0.002678 kWh 
[codecarbon INFO @ 11:00:16] 0.004325 kWh of electricity and 0.000000 L of water were used since the beginning. </t>
  </si>
  <si>
    <t xml:space="preserve">Processing took: 98.13891535600123
[codecarbon INFO @ 12:35:13] Energy consumed for RAM : 0.000537 kWh. RAM Power : 20.0 W 
[codecarbon INFO @ 12:35:13] Delta energy consumed for CPU with constant : 0.000060 kWh, power : 32.5 W 
[codecarbon INFO @ 12:35:13] Energy consumed for All CPU : 0.000872 kWh 
[codecarbon INFO @ 12:35:14] Energy consumed for all GPUs : 0.001697 kWh. Total GPU Power : 75.81962456369435 W 
[codecarbon INFO @ 12:35:14] 0.003106 kWh of electricity and 0.000000 L of water were used since the beginning. </t>
  </si>
  <si>
    <t xml:space="preserve">Processing took: 88.8199563369999
[codecarbon INFO @ 12:37:31] Energy consumed for RAM : 0.000485 kWh. RAM Power : 20.0 W 
[codecarbon INFO @ 12:37:31] Delta energy consumed for CPU with constant : 0.000111 kWh, power : 32.5 W 
[codecarbon INFO @ 12:37:31] Energy consumed for All CPU : 0.000788 kWh 
[codecarbon INFO @ 12:37:31] Energy consumed for all GPUs : 0.001601 kWh. Total GPU Power : 85.29720721227223 W 
[codecarbon INFO @ 12:37:31] 0.002874 kWh of electricity and 0.000000 L of water were used since the beginning. </t>
  </si>
  <si>
    <t xml:space="preserve">Processing took: 94.49454246999994
[codecarbon INFO @ 12:39:56] Energy consumed for RAM : 0.000516 kWh. RAM Power : 20.0 W 
[codecarbon INFO @ 12:39:56] Delta energy consumed for CPU with constant : 0.000027 kWh, power : 32.5 W 
[codecarbon INFO @ 12:39:56] Energy consumed for All CPU : 0.000839 kWh 
[codecarbon INFO @ 12:39:56] Energy consumed for all GPUs : 0.001703 kWh. Total GPU Power : 81.44368219245595 W 
[codecarbon INFO @ 12:39:56] 0.003059 kWh of electricity and 0.000000 L of water were used since the beginning. </t>
  </si>
  <si>
    <t xml:space="preserve">Processing took: 110.90931504900072
[codecarbon INFO @ 11:34:35] Energy consumed for RAM : 0.000608 kWh. RAM Power : 20.0 W 
[codecarbon INFO @ 11:34:35] Delta energy consumed for CPU with constant : 0.000040 kWh, power : 32.5 W 
[codecarbon INFO @ 11:34:35] Energy consumed for All CPU : 0.000988 kWh 
[codecarbon INFO @ 11:34:35] 0.001595 kWh of electricity and 0.000000 L of water were used since the beginning. </t>
  </si>
  <si>
    <t xml:space="preserve">Processing took: 110.14508648200172
[codecarbon INFO @ 11:37:07] Energy consumed for RAM : 0.000604 kWh. RAM Power : 20.0 W 
[codecarbon INFO @ 11:37:07] Delta energy consumed for CPU with constant : 0.000033 kWh, power : 32.5 W 
[codecarbon INFO @ 11:37:07] Energy consumed for All CPU : 0.000981 kWh 
[codecarbon INFO @ 11:37:07] 0.001584 kWh of electricity and 0.000000 L of water were used since the beginning. </t>
  </si>
  <si>
    <t xml:space="preserve">Processing took: 111.44111668199912
[codecarbon INFO @ 11:39:31] Energy consumed for RAM : 0.000611 kWh. RAM Power : 20.0 W 
[codecarbon INFO @ 11:39:31] Delta energy consumed for CPU with constant : 0.000044 kWh, power : 32.5 W 
[codecarbon INFO @ 11:39:31] Energy consumed for All CPU : 0.000992 kWh 
[codecarbon INFO @ 11:39:31] 0.001603 kWh of electricity and 0.000000 L of water were used since the beginning. </t>
  </si>
  <si>
    <t xml:space="preserve">Processing took: 45.79351869099992
[codecarbon INFO @ 12:41:25] Energy consumed for RAM : 0.000246 kWh. RAM Power : 20.0 W 
[codecarbon INFO @ 12:41:25] Delta energy consumed for CPU with constant : 0.000129 kWh, power : 32.5 W 
[codecarbon INFO @ 12:41:25] Energy consumed for All CPU : 0.000400 kWh 
[codecarbon INFO @ 12:41:25] Energy consumed for all GPUs : 0.000607 kWh. Total GPU Power : 82.9474558113291 W 
[codecarbon INFO @ 12:41:25] 0.001253 kWh of electricity and 0.000000 L of water were used since the beginning. </t>
  </si>
  <si>
    <t xml:space="preserve">Processing took: 43.21797096800037
[codecarbon INFO @ 12:42:31] Energy consumed for RAM : 0.000231 kWh. RAM Power : 20.0 W 
[codecarbon INFO @ 12:42:31] Delta energy consumed for CPU with constant : 0.000105 kWh, power : 32.5 W 
[codecarbon INFO @ 12:42:31] Energy consumed for All CPU : 0.000376 kWh 
[codecarbon INFO @ 12:42:31] Energy consumed for all GPUs : 0.000561 kWh. Total GPU Power : 85.90735372554596 W 
[codecarbon INFO @ 12:42:31] 0.001169 kWh of electricity and 0.000000 L of water were used since the beginning. </t>
  </si>
  <si>
    <t xml:space="preserve">Processing took: 45.94833963000019
[codecarbon INFO @ 12:43:51] Energy consumed for RAM : 0.000247 kWh. RAM Power : 20.0 W 
[codecarbon INFO @ 12:43:51] Delta energy consumed for CPU with constant : 0.000130 kWh, power : 32.5 W 
[codecarbon INFO @ 12:43:51] Energy consumed for All CPU : 0.000401 kWh 
[codecarbon INFO @ 12:43:51] Energy consumed for all GPUs : 0.000606 kWh. Total GPU Power : 80.91617977371166 W 
[codecarbon INFO @ 12:43:51] 0.001254 kWh of electricity and 0.000000 L of water were used since the beginning. </t>
  </si>
  <si>
    <t xml:space="preserve">Processing took: 416.940494598
[codecarbon INFO @ 17:44:57] Energy consumed for RAM : 0.002308 kWh. RAM Power : 20.0 W 
[codecarbon INFO @ 17:44:57] Delta energy consumed for CPU with constant : 0.000094 kWh, power : 32.5 W 
[codecarbon INFO @ 17:44:57] Energy consumed for All CPU : 0.003750 kWh 
[codecarbon INFO @ 17:44:57] 0.006057 kWh of electricity and 0.000000 L of water were used since the beginning. 
</t>
  </si>
  <si>
    <t xml:space="preserve">Processing took: 406.51059207000003
[codecarbon INFO @ 17:53:11] Energy consumed for RAM : 0.002250 kWh. RAM Power : 20.0 W 
[codecarbon INFO @ 17:53:11] Delta energy consumed for CPU with constant : 0.000135 kWh, power : 32.5 W 
[codecarbon INFO @ 17:53:11] Energy consumed for All CPU : 0.003656 kWh 
[codecarbon INFO @ 17:53:11] 0.005906 kWh of electricity and 0.000000 L of water were used since the beginning. </t>
  </si>
  <si>
    <t xml:space="preserve">Processing took: 404.19273455099983
[codecarbon INFO @ 18:02:18] Energy consumed for RAM : 0.002237 kWh. RAM Power : 20.0 W 
[codecarbon INFO @ 18:02:18] Delta energy consumed for CPU with constant : 0.000114 kWh, power : 32.5 W 
[codecarbon INFO @ 18:02:18] Energy consumed for All CPU : 0.003635 kWh 
[codecarbon INFO @ 18:02:18] 0.005872 kWh of electricity and 0.000000 L of water were used since the beginning. </t>
  </si>
  <si>
    <t xml:space="preserve">Processing took: 11.704651333000015
[codecarbon INFO @ 17:22:19] Energy consumed for RAM : 0.000056 kWh. RAM Power : 20.0 W 
[codecarbon INFO @ 17:22:19] Delta energy consumed for CPU with constant : 0.000091 kWh, power : 32.5 W 
[codecarbon INFO @ 17:22:19] Energy consumed for All CPU : 0.000091 kWh 
[codecarbon INFO @ 17:22:19] Energy consumed for all GPUs : 0.000383 kWh. Total GPU Power : 137.05239026002528 W 
[codecarbon INFO @ 17:22:19] 0.000530 kWh of electricity and 0.000000 L of water were used since the beginning. </t>
  </si>
  <si>
    <t xml:space="preserve">Processing took: 8.537173757999994
[codecarbon INFO @ 17:23:02] Energy consumed for RAM : 0.000039 kWh. RAM Power : 20.0 W  
[codecarbon INFO @ 17:23:02] Delta energy consumed for CPU with constant : 0.000063 kWh, power : 32.5 W  
[codecarbon INFO @ 17:23:02] Energy consumed for All CPU : 0.000063 kWh  
[codecarbon INFO @ 17:23:02] Energy consumed for all GPUs : 0.000377 kWh. Total GPU Power : 194.79234044237774 W 
[codecarbon INFO @ 17:23:02] 0.000479 kWh of electricity and 0.000000 L of water were used since the beginning. </t>
  </si>
  <si>
    <t xml:space="preserve">Processing took: 10.155816008000102
[codecarbon INFO @ 17:24:06] Energy consumed for RAM : 0.000048 kWh. RAM Power : 20.0 W  
[codecarbon INFO @ 17:24:06] Delta energy consumed for CPU with constant : 0.000078 kWh, power : 32.5 W  
[codecarbon INFO @ 17:24:06] Energy consumed for All CPU : 0.000078 kWh  
[codecarbon INFO @ 17:24:06] Energy consumed for all GPUs : 0.000471 kWh. Total GPU Power : 197.23456102369383 W 
[codecarbon INFO @ 17:24:06] 0.000596 kWh of electricity and 0.000000 L of water were used since the beginning. </t>
  </si>
  <si>
    <t xml:space="preserve">Processing took: 204.42076413500035
[codecarbon INFO @ 11:18:30] Energy consumed for RAM : 0.001128 kWh. RAM Power : 20.0 W 
[codecarbon INFO @ 11:18:30] Delta energy consumed for CPU with constant : 0.000073 kWh, power : 32.5 W 
[codecarbon INFO @ 11:18:30] Energy consumed for All CPU : 0.001833 kWh 
[codecarbon INFO @ 11:18:30] 0.002961 kWh of electricity and 0.000000 L of water were used since the beginning. </t>
  </si>
  <si>
    <t xml:space="preserve">Processing took: 210.13915577199987
[codecarbon INFO @ 11:27:29] Energy consumed for RAM : 0.001160 kWh. RAM Power : 20.0 W 
[codecarbon INFO @ 11:27:29] Delta energy consumed for CPU with constant : 0.000124 kWh, power : 32.5 W 
[codecarbon INFO @ 11:27:29] Energy consumed for All CPU : 0.001885 kWh 
[codecarbon INFO @ 11:27:29] 0.003045 kWh of electricity and 0.000000 L of water were used since the beginning. </t>
  </si>
  <si>
    <t xml:space="preserve">Processing took: 195.18281356900025
[codecarbon INFO @ 11:31:22] Energy consumed for RAM : 0.001077 kWh. RAM Power : 20.0 W 
[codecarbon INFO @ 11:31:22] Delta energy consumed for CPU with constant : 0.000125 kWh, power : 32.5 W 
[codecarbon INFO @ 11:31:22] Energy consumed for All CPU : 0.001750 kWh 
[codecarbon INFO @ 11:31:22] 0.002827 kWh of electricity and 0.000000 L of water were used since the beginning. </t>
  </si>
  <si>
    <t xml:space="preserve">Processing took: 7.381220515999985
[codecarbon INFO @ 17:29:53] Energy consumed for RAM : 0.000032 kWh. RAM Power : 20.0 W  
[codecarbon INFO @ 17:29:53] Delta energy consumed for CPU with constant : 0.000052 kWh, power : 32.5 W  
[codecarbon INFO @ 17:29:53] Energy consumed for All CPU : 0.000052 kWh  
[codecarbon INFO @ 17:29:53] Energy consumed for all GPUs : 0.000319 kWh. Total GPU Power : 198.49492773465587 W 
[codecarbon INFO @ 17:29:53] 0.000403 kWh of electricity and 0.000000 L of water were used since the beginning. </t>
  </si>
  <si>
    <t xml:space="preserve">Processing took: 8.17935261599996
[codecarbon INFO @ 17:30:23] Energy consumed for RAM : 0.000037 kWh. RAM Power : 20.0 W 
[codecarbon INFO @ 17:30:23] Delta energy consumed for CPU with constant : 0.000059 kWh, power : 32.5 W 
[codecarbon INFO @ 17:30:23] Energy consumed for All CPU : 0.000059 kWh 
[codecarbon INFO @ 17:30:23] Energy consumed for all GPUs : 0.000359 kWh. Total GPU Power : 196.35912982703792 W 
[codecarbon INFO @ 17:30:23] 0.000455 kWh of electricity and 0.000000 L of water were used since the beginning. </t>
  </si>
  <si>
    <t xml:space="preserve">Processing took: 6.636683390999906
[codecarbon INFO @ 17:30:46] Energy consumed for RAM : 0.000028 kWh. RAM Power : 20.0 W  
[codecarbon INFO @ 17:30:46] Delta energy consumed for CPU with constant : 0.000046 kWh, power : 32.5 W  
[codecarbon INFO @ 17:30:46] Energy consumed for All CPU : 0.000046 kWh  
[codecarbon INFO @ 17:30:46] Energy consumed for all GPUs : 0.000272 kWh. Total GPU Power : 193.39172037863372 W 
[codecarbon INFO @ 17:30:46] 0.000346 kWh of electricity and 0.000000 L of water were used since the beginning. </t>
  </si>
  <si>
    <t xml:space="preserve">Processing took: 939.8058513339993
[codecarbon INFO @ 11:48:18] Energy consumed for RAM : 0.005214 kWh. RAM Power : 20.0 W 
[codecarbon INFO @ 11:48:18] Delta energy consumed for CPU with constant : 0.000076 kWh, power : 32.5 W 
[codecarbon INFO @ 11:48:18] Energy consumed for All CPU : 0.008472 kWh 
[codecarbon INFO @ 11:48:18] 0.013686 kWh of electricity and 0.000000 L of water were used since the beginning. </t>
  </si>
  <si>
    <t xml:space="preserve">Processing took: 1008.8239141190006
[codecarbon INFO @ 12:14:23] Energy consumed for RAM : 0.005597 kWh. RAM Power : 20.0 W 
[codecarbon INFO @ 12:14:23] Delta energy consumed for CPU with constant : 0.000022 kWh, power : 32.5 W 
[codecarbon INFO @ 12:14:23] Energy consumed for All CPU : 0.009095 kWh 
[codecarbon INFO @ 12:14:23] 0.014692 kWh of electricity and 0.000000 L of water were used since the beginning. </t>
  </si>
  <si>
    <t xml:space="preserve">Processing took: 915.3899822340009
[codecarbon INFO @ 13:52:15] Energy consumed for RAM : 0.005078 kWh. RAM Power : 20.0 W 
[codecarbon INFO @ 13:52:15] Delta energy consumed for CPU with constant : 0.000126 kWh, power : 32.5 W 
[codecarbon INFO @ 13:52:15] Energy consumed for All CPU : 0.008252 kWh 
[codecarbon INFO @ 13:52:15] 0.013329 kWh of electricity and 0.000000 L of water were used since the beginning. </t>
  </si>
  <si>
    <t xml:space="preserve">Processing took: 14.17984859499984
[codecarbon INFO @ 17:31:29] Energy consumed for RAM : 0.000070 kWh. RAM Power : 20.0 W  
[codecarbon INFO @ 17:31:29] Delta energy consumed for CPU with constant : 0.000114 kWh, power : 32.5 W  
[codecarbon INFO @ 17:31:29] Energy consumed for All CPU : 0.000114 kWh  
[codecarbon INFO @ 17:31:29] Energy consumed for all GPUs : 0.000788 kWh. Total GPU Power : 225.24537748881647 W 
[codecarbon INFO @ 17:31:29] 0.000972 kWh of electricity and 0.000000 L of water were used since the beginning.  </t>
  </si>
  <si>
    <t xml:space="preserve">Processing took: 15.182224593
[codecarbon INFO @ 17:32:57] Energy consumed for RAM : 0.000075 kWh. RAM Power : 20.0 W  
[codecarbon INFO @ 17:32:57] Delta energy consumed for CPU with constant : 0.000122 kWh, power : 32.5 W  
[codecarbon INFO @ 17:32:57] Energy consumed for All CPU : 0.000122 kWh  
[codecarbon INFO @ 17:32:57] Energy consumed for all GPUs : 0.000848 kWh. Total GPU Power : 225.11636683249307 W 
[codecarbon INFO @ 17:32:57] 0.001046 kWh of electricity and 0.000000 L of water were used since the beginning.  </t>
  </si>
  <si>
    <t xml:space="preserve">Processing took: 13.05616133500007
[codecarbon INFO @ 17:33:32] Energy consumed for RAM : 0.000064 kWh. RAM Power : 20.0 W  
[codecarbon INFO @ 17:33:32] Delta energy consumed for CPU with constant : 0.000104 kWh, power : 32.5 W  
[codecarbon INFO @ 17:33:32] Energy consumed for All CPU : 0.000104 kWh  
[codecarbon INFO @ 17:33:32] Energy consumed for all GPUs : 0.000715 kWh. Total GPU Power : 224.44989340278514 W 
[codecarbon INFO @ 17:33:32] 0.000882 kWh of electricity and 0.000000 L of water were used since the beginning.  
</t>
  </si>
  <si>
    <t xml:space="preserve">Processing took: 910.459608912
[codecarbon INFO @ 18:26:30] Energy consumed for RAM : 0.005049 kWh. RAM Power : 20.0 W 
[codecarbon INFO @ 18:26:30] Delta energy consumed for CPU with constant : 0.000079 kWh, power : 32.5 W 
[codecarbon INFO @ 18:26:30] Energy consumed for All CPU : 0.008204 kWh 
[codecarbon INFO @ 18:26:30] 0.013253 kWh of electricity and 0.000000 L of water were used since the beginning. </t>
  </si>
  <si>
    <t xml:space="preserve">Processing took: 900.1099384099998
[codecarbon INFO @ 19:13:04] Energy consumed for RAM : 0.004991 kWh. RAM Power : 20.0 W  
[codecarbon INFO @ 19:13:04] Delta energy consumed for CPU with constant : 0.000120 kWh, power : 32.5 W  
[codecarbon INFO @ 19:13:04] Energy consumed for All CPU : 0.008110 kWh  
[codecarbon INFO @ 19:13:04] 0.013101 kWh of electricity and 0.000000 L of water were used since the beginning. </t>
  </si>
  <si>
    <t xml:space="preserve">Processing took: 898.1551713240005
[codecarbon INFO @ 19:55:03] Energy consumed for RAM : 0.004981 kWh. RAM Power : 20.0 W 
[codecarbon INFO @ 19:55:03] Delta energy consumed for CPU with constant : 0.000104 kWh, power : 32.5 W 
[codecarbon INFO @ 19:55:03] Energy consumed for All CPU : 0.008094 kWh 
[codecarbon INFO @ 19:55:03] 0.013075 kWh of electricity and 0.000000 L of water were used since the beginning. </t>
  </si>
  <si>
    <t xml:space="preserve">Processing took: 40.31854828500002
[codecarbon INFO @ 17:25:18] Energy consumed for RAM : 0.000215 kWh. RAM Power : 20.0 W  
[codecarbon INFO @ 17:25:18] Delta energy consumed for CPU with constant : 0.000079 kWh, power : 32.5 W  
[codecarbon INFO @ 17:25:18] Energy consumed for All CPU : 0.000350 kWh  
[codecarbon INFO @ 17:25:18] Energy consumed for all GPUs : 0.002273 kWh. Total GPU Power : 217.26079701088884 W 
[codecarbon INFO @ 17:25:18] 0.002838 kWh of electricity and 0.000000 L of water were used since the beginning.  </t>
  </si>
  <si>
    <t xml:space="preserve">Processing took: 36.41442921299995
[codecarbon INFO @ 17:26:07] Energy consumed for RAM : 0.000194 kWh. RAM Power : 20.0 W  
[codecarbon INFO @ 17:26:07] Delta energy consumed for CPU with constant : 0.000044 kWh, power : 32.5 W  
[codecarbon INFO @ 17:26:07] Energy consumed for All CPU : 0.000315 kWh  
[codecarbon INFO @ 17:26:07] Energy consumed for all GPUs : 0.002117 kWh. Total GPU Power : 233.78785701262674 W 
[codecarbon INFO @ 17:26:07] 0.002625 kWh of electricity and 0.000000 L of water were used since the beginning.  </t>
  </si>
  <si>
    <t xml:space="preserve">Processing took: 40.676843770000005
[codecarbon INFO @ 17:27:13] Energy consumed for RAM : 0.000217 kWh. RAM Power : 20.0 W 
[codecarbon INFO @ 17:27:13] Delta energy consumed for CPU with constant : 0.000082 kWh, power : 32.5 W 
[codecarbon INFO @ 17:27:13] Energy consumed for All CPU : 0.000353 kWh 
[codecarbon INFO @ 17:27:13] Energy consumed for all GPUs : 0.002348 kWh. Total GPU Power : 222.2378125568933 W 
[codecarbon INFO @ 17:27:13] 0.002918 kWh of electricity and 0.000000 L of water were used since the beginning. </t>
  </si>
  <si>
    <t xml:space="preserve">Processing took: 652.471445038
[codecarbon INFO @ 09:49:18] Energy consumed for RAM : 0.003617 kWh. RAM Power : 20.0 W 
[codecarbon INFO @ 09:49:18] Delta energy consumed for CPU with constant : 0.000055 kWh, power : 32.5 W 
[codecarbon INFO @ 09:49:18] Energy consumed for All CPU : 0.005878 kWh 
[codecarbon INFO @ 09:49:18] 0.009496 kWh of electricity and 0.000000 L of water were used since the beginning. </t>
  </si>
  <si>
    <t xml:space="preserve">Processing took: 653.083393458
[codecarbon INFO @ 10:08:47] Energy consumed for RAM : 0.003621 kWh. RAM Power : 20.0 W 
[codecarbon INFO @ 10:08:47] Delta energy consumed for CPU wh constant : 0.000061 kWh, power : 32.5 W 
[codecarbon INFO @ 10:08:47] Energy consumed for All CPU : 0.005884 kWh 
[codecarbon INFO @ 10:08:47] 0.009504 kWh of electricy and 0.000000 L of water were used since the beginning. </t>
  </si>
  <si>
    <t xml:space="preserve">Processing took: 660.2919244279997
[codecarbon INFO @ 10:31:06] Energy consumed for RAM : 0.003661 kWh. RAM Power : 20.0 W 
[codecarbon INFO @ 10:31:06] Delta energy consumed for CPU with constant : 0.000126 kWh, power : 32.5 W 
[codecarbon INFO @ 10:31:06] Energy consumed for All CPU : 0.005949 kWh 
[codecarbon INFO @ 10:31:06] 0.009609 kWh of electricity and 0.000000 L of water were used since the beginning. </t>
  </si>
  <si>
    <t xml:space="preserve">Processing took: 18.83213097800001
[codecarbon INFO @ 17:28:01] Energy consumed for RAM : 0.000096 kWh. RAM Power : 20.0 W  
[codecarbon INFO @ 17:28:01] Delta energy consumed for CPU with constant : 0.000021 kWh, power : 32.5 W  
[codecarbon INFO @ 17:28:01] Energy consumed for All CPU : 0.000156 kWh  
[codecarbon INFO @ 17:28:01] Energy consumed for all GPUs : 0.001007 kWh. Total GPU Power : 230.36148752394095 W 
[codecarbon INFO @ 17:28:01] 0.001259 kWh of electricity and 0.000000 L of water were used since the beginning.  </t>
  </si>
  <si>
    <t xml:space="preserve">Processing took: 19.16773510600001
[codecarbon INFO @ 17:28:40] Energy consumed for RAM : 0.000098 kWh. RAM Power : 20.0 W 
[codecarbon INFO @ 17:28:40] Delta energy consumed for CPU with constant : 0.000023 kWh, power : 32.5 W 
[codecarbon INFO @ 17:28:40] Energy consumed for All CPU : 0.000159 kWh 
[codecarbon INFO @ 17:28:40] Energy consumed for all GPUs : 0.001065 kWh. Total GPU Power : 261.1977047856944 W 
[codecarbon INFO @ 17:28:40] 0.001322 kWh of electricity and 0.000000 L of water were used since the beginning. </t>
  </si>
  <si>
    <t xml:space="preserve">Processing took: 17.384878858999855
[codecarbon INFO @ 17:29:17] Energy consumed for RAM : 0.000088 kWh. RAM Power : 20.0 W 
[codecarbon INFO @ 17:29:17] Delta energy consumed for CPU with constant : 0.000007 kWh, power : 32.5 W 
[codecarbon INFO @ 17:29:17] Energy consumed for All CPU : 0.000143 kWh 
[codecarbon INFO @ 17:29:17] Energy consumed for all GPUs : 0.000931 kWh. Total GPU Power : 263.7292971904055 W 
[codecarbon INFO @ 17:29:17] 0.001161 kWh of electricity and 0.000000 L of water were used since the beginning. </t>
  </si>
  <si>
    <t xml:space="preserve">Processing took: 1379.7922226460014 
[codecarbon INFO @ 12:56:26] Energy consumed for RAM : 0.007665 kWh. RAM Power : 20.0 W 
[codecarbon INFO @ 12:56:26] Delta energy consumed for CPU with constant : 0.000133 kWh, power : 32.5 W 
[codecarbon INFO @ 12:56:26] Energy consumed for All CPU : 0.012455 kWh 
[codecarbon INFO @ 12:56:26] 0.022624 kWh of electricity and 0.000000 L of water were used since the beginning. </t>
  </si>
  <si>
    <t xml:space="preserve">Processing took: 1351.778867738998 
[codecarbon INFO @ 13:22:11] Energy consumed for RAM : 0.007509 kWh. RAM Power : 20.0 W 
[codecarbon INFO @ 13:22:11] Delta energy consumed for CPU with constant : 0.000016 kWh, power : 32.5 W 
[codecarbon INFO @ 13:22:11] Energy consumed for All CPU : 0.012202 kWh 
[codecarbon INFO @ 13:22:11] 0.021985 kWh of electricity and 0.000000 L of water were used since the beginning. 
</t>
  </si>
  <si>
    <t xml:space="preserve">Processing took: 1371.3207338970024 
[codecarbon INFO @ 14:43:15] Energy consumed for RAM : 0.007618 kWh. RAM Power : 20.0 W 
[codecarbon INFO @ 14:43:15] Delta energy consumed for CPU with constant : 0.000057 kWh, power : 32.5 W 
[codecarbon INFO @ 14:43:15] Energy consumed for All CPU : 0.012379 kWh 
[codecarbon INFO @ 14:43:15] 0.022725 kWh of electricity and 0.000000 L of water were used since the beginning. </t>
  </si>
  <si>
    <t xml:space="preserve">Processing took: 444.5282713430024 
[codecarbon INFO @ 16:28:02] Energy consumed for RAM : 0.002470 kWh. RAM Power : 20.0 W 
[codecarbon INFO @ 16:28:02] Delta energy consumed for CPU with constant : 0.000086 kWh, power : 32.5 W 
[codecarbon INFO @ 16:28:02] Energy consumed for All CPU : 0.004013 kWh 
[codecarbon INFO @ 16:28:02] 0.006483 kWh of electricity and 0.000000 L of water were used since the beginning. </t>
  </si>
  <si>
    <t xml:space="preserve">Processing took: 24.72059382700172 
[codecarbon INFO @ 14:55:31] Energy consumed for RAM : 0.000137 kWh. RAM Power : 20.0 W 
[codecarbon INFO @ 14:55:31] Delta energy consumed for CPU with constant : 0.000087 kWh, power : 32.5 W 
[codecarbon INFO @ 14:55:31] Energy consumed for All CPU : 0.000223 kWh 
[codecarbon INFO @ 14:55:31] 0.000408 kWh of electricity and 0.000000 L of water were used since the beginning. </t>
  </si>
  <si>
    <t xml:space="preserve">Processing took: 30.11165948100097 
[codecarbon INFO @ 15:00:53] Energy consumed for RAM : 0.000167 kWh. RAM Power : 20.0 W 
[codecarbon INFO @ 15:00:53] Delta energy consumed for CPU with constant : 0.000001 kWh, power : 32.5 W 
[codecarbon INFO @ 15:00:53] Energy consumed for All CPU : 0.000272 kWh 
[codecarbon INFO @ 15:00:53] 0.000505 kWh of electricity and 0.000000 L of water were used since the beginning. </t>
  </si>
  <si>
    <t xml:space="preserve">Processing took: 30.342667220000294 
[codecarbon INFO @ 15:04:09] Energy consumed for RAM : 0.000168 kWh. RAM Power : 20.0 W 
[codecarbon INFO @ 15:04:09] Delta energy consumed for CPU with constant : 0.000002 kWh, power : 32.5 W 
[codecarbon INFO @ 15:04:09] Energy consumed for All CPU : 0.000273 kWh 
[codecarbon INFO @ 15:04:09] 0.000501 kWh of electricity and 0.000000 L of water were used since the beginning. </t>
  </si>
  <si>
    <t xml:space="preserve">Processing took: 29.835119534000114 
[codecarbon INFO @ 15:06:36] Energy consumed for RAM : 0.000166 kWh. RAM Power : 20.0 W 
[codecarbon INFO @ 15:06:36] Delta energy consumed for CPU with constant : 0.000134 kWh, power : 32.5 W 
[codecarbon INFO @ 15:06:36] Energy consumed for All CPU : 0.000269 kWh 
[codecarbon INFO @ 15:06:36] 0.000493 kWh of electricity and 0.000000 L of water were used since the beginning. </t>
  </si>
  <si>
    <t xml:space="preserve">Processing took: 26.058039603998623 
[codecarbon INFO @ 14:49:24] Energy consumed for RAM : 0.000145 kWh. RAM Power : 20.0 W 
[codecarbon INFO @ 14:49:24] Delta energy consumed for CPU with constant : 0.000099 kWh, power : 32.5 W 
[codecarbon INFO @ 14:49:24] Energy consumed for All CPU : 0.000235 kWh 
[codecarbon INFO @ 14:49:24] 0.000430 kWh of electricity and 0.000000 L of water were used since the beginning. </t>
  </si>
  <si>
    <t xml:space="preserve">Processing took: 25.173882942999626 
[codecarbon INFO @ 14:53:59] Energy consumed for RAM : 0.000140 kWh. RAM Power : 20.0 W 
[codecarbon INFO @ 14:53:59] Delta energy consumed for CPU with constant : 0.000091 kWh, power : 32.5 W 
[codecarbon INFO @ 14:53:59] Energy consumed for All CPU : 0.000227 kWh 
[codecarbon INFO @ 14:53:59] 0.000416 kWh of electricity and 0.000000 L of water were used since the beginning. </t>
  </si>
  <si>
    <t xml:space="preserve">Processing took: 425.66363062000164 
[codecarbon INFO @ 17:11:31] Energy consumed for RAM : 0.002365 kWh. RAM Power : 20.0 W 
[codecarbon INFO @ 17:11:31] Delta energy consumed for CPU with constant : 0.000051 kWh, power : 32.5 W 
[codecarbon INFO @ 17:11:31] Energy consumed for All CPU : 0.003843 kWh 
[codecarbon INFO @ 17:11:31] 0.006208 kWh of electricity and 0.000000 L of water were used since the beginning. </t>
  </si>
  <si>
    <t xml:space="preserve">Processing took: 1679.669849666
[codecarbon INFO @ 09:14:55] Energy consumed for RAM : 0.009323 kWh. RAM Power : 20.0 W 
[codecarbon INFO @ 09:14:55] Delta energy consumed for CPU with constant : 0.000118 kWh, power : 32.5 W 
[codecarbon INFO @ 09:14:55] Energy consumed for All CPU : 0.015150 kWh 
[codecarbon INFO @ 09:14:55] 0.024472 kWh of electricity and 0.000000 L of water were used since the beginning. </t>
  </si>
  <si>
    <t xml:space="preserve">Processing took: 3751.7015195000004
[codecarbon INFO @ 00:54:30] Energy consumed for RAM : 0.020813 kWh. RAM Power : 20.0 W 
[codecarbon INFO @ 00:54:30] Delta energy consumed for CPU with constant : 0.001468 kWh, power : 520.0 W 
[codecarbon INFO @ 00:54:30] Energy consumed for All CPU : 0.541152 kWh 
[codecarbon INFO @ 00:54:30] 0.567649 kWh of electricity used since the beginning. </t>
  </si>
  <si>
    <t xml:space="preserve">Processing took: 3644.238869199995
[codecarbon INFO @ 09:46:40] Energy consumed for RAM : 0.020216 kWh. RAM Power : 20.0 W 
[codecarbon INFO @ 09:46:40] Delta energy consumed for CPU with constant : 0.001128 kWh, power : 520.0 W 
[codecarbon INFO @ 09:46:40] Energy consumed for All CPU : 0.525635 kWh 
[codecarbon INFO @ 09:46:40] 0.551217 kWh of electricity used since the beginning. </t>
  </si>
  <si>
    <t xml:space="preserve">Processing took: 3715.9172388000006
[codecarbon INFO @ 10:52:24] Energy consumed for RAM : 0.020615 kWh. RAM Power : 20.0 W 
[codecarbon INFO @ 10:52:24] Delta energy consumed for CPU with constant : 0.000654 kWh, power : 520.0 W 
[codecarbon INFO @ 10:52:24] Energy consumed for All CPU : 0.536007 kWh 
[codecarbon INFO @ 10:52:24] 0.562822 kWh of electricity used since the beginning. </t>
  </si>
  <si>
    <t xml:space="preserve">Processing took: 71435.42540539999
[codecarbon INFO @ 17:30:40] Energy consumed for RAM : 0.396795 kWh. RAM Power : 20.0 W 
[codecarbon INFO @ 17:30:40] Delta energy consumed for CPU with constant : 0.001015 kWh, power : 260.0 W 
[codecarbon INFO @ 17:30:40] Energy consumed for All CPU : 5.158466 kWh 
[codecarbon INFO @ 17:30:40] Energy consumed for all GPUs : 0.000000 kWh. Total GPU Power : 0.0 W 
[codecarbon INFO @ 17:30:40] 5.555261 kWh of electricity used since the beginning. </t>
  </si>
  <si>
    <t>2026-01-07T17:30:40,mixtral,bab8f5f5-12a2-46ae-823c-ef67a62b9858,5b0fa12a-3dd7-45bb-9766-cc326314d9f1,71432.7083403,2.1162766037610594,2.962615660152879e-05,260.0,0.0,20.0,5.158466053000027,0.0,0.3967947522527783,5.555260805252813,Germany,DEU,bavaria,,,Windows-11-10.0.26200-SP0,3.13.2,3.0.7,8,Intel(R) Core(TM) i7-9700 CPU @ 3.00GHz,1,1 x NVIDIA GeForce GTX 1050 Ti,10.9545,49.9282,63.81718826293945,machine,N,1.0</t>
  </si>
  <si>
    <t>2025-12-23T07:03:59,generate-markov,ad39f3af-dea5-4e9b-9339-1a990b5349a0,5b0fa12a-3dd7-45bb-9766-cc326314d9f1,383.656905467,0.002130346586733419,5.5527388048451525e-06,32.5,0.0,20.0,0.003462554721320138,0.0,0.002129640020072221,0.005592194741392359,0.0,Germany,DEU,bavaria,Linux-5.15.167.4-microsoft-standard-WSL2-x86_64-with-glibc2.35,3.10.12,3.2.0,8,Intel(R) Core(TM) i7-9700 CPU @ 3.00GHz,10.9545,49.9282,31.25782012939453,machine,N,1.0,0.0,,</t>
  </si>
  <si>
    <t>2025-12-23T07:12:51,generate-markov,8b2613f6-e653-48fa-8a2a-19eac8526bf0,5b0fa12a-3dd7-45bb-9766-cc326314d9f1,377.64277917999993,0.0020972302699228,5.553476421491904e-06,32.5,0.0,20.0,0.0034085641707631,0.0,0.0020966996956833,0.0055052638664465,0.0,Germany,DEU,bavaria,Linux-5.15.167.4-microsoft-standard-WSL2-x86_64-with-glibc2.35,3.10.12,3.2.0,8,Intel(R) Core(TM) i7-9700 CPU @ 3.00GHz,10.9545,49.9282,31.25782012939453,machine,N,1.0,0.0,,</t>
  </si>
  <si>
    <t>2025-12-23T07:19:29,generate-markov,1f5f74e5-fd58-47b1-9f2d-f80d7ce161bd,5b0fa12a-3dd7-45bb-9766-cc326314d9f1,373.9278068630001,0.0020763553738814004,5.552824197003719e-06,32.5,0.0,20.0,0.0033748101964236085,0.0,0.00207565672543333,0.005450466921856938,0.0,Germany,DEU,bavaria,Linux-5.15.167.4-microsoft-standard-WSL2-x86_64-with-glibc2.35,3.10.12,3.2.0,8,Intel(R) Core(TM) i7-9700 CPU @ 3.00GHz,10.9545,49.9282,31.25782012939453,machine,N,1.0,0.0,,</t>
  </si>
  <si>
    <t>2025-12-23T07:23:08,generate-markov-oneword,c8fcd24a-51c4-4859-9763-53dd37e225fb,5b0fa12a-3dd7-45bb-9766-cc326314d9f1,188.50640085400005,0.0010467432126923,5.55282583482696e-06,32.5,0.0,20.0,0.0017013586896222,0.0,0.0010463594169333,0.0027477181065555,0.0,Germany,DEU,bavaria,Linux-5.15.167.4-microsoft-standard-WSL2-x86_64-with-glibc2.35,3.10.12,3.2.0,8,Intel(R) Core(TM) i7-9700 CPU @ 3.00GHz,10.9545,49.9282,31.25782012939453,machine,N,1.0,0.0,,</t>
  </si>
  <si>
    <t>2025-12-23T07:35:26,generate-markov-oneword,1f94c188-ed9d-4e53-b58d-3a1bff28bd9c,5b0fa12a-3dd7-45bb-9766-cc326314d9f1,186.56384148200004,0.001036067545634459,5.553420949120091e-06,32.5,0.0,20.0,0.0016837771310298595,0.0,0.0010359171743500029,0.0027196943053798633,0.0,Germany,DEU,bavaria,Linux-5.15.167.4-microsoft-standard-WSL2-x86_64-with-glibc2.35,3.10.12,3.2.0,8,Intel(R) Core(TM) i7-9700 CPU @ 3.00GHz,10.9545,49.9282,31.25782012939453,machine,N,1.0,0.0,,</t>
  </si>
  <si>
    <t>2025-12-23T07:42:01,generate-markov-oneword,459f3e06-fc5c-4607-b1c0-ee8d003938ed,5b0fa12a-3dd7-45bb-9766-cc326314d9f1,188.2655055600003,0.001045567125184202,5.553683995770428e-06,32.5,0.0,20.0,0.001699234618990281,0.0,0.0010453962385611098,0.00274463085755139,0.0,Germany,DEU,bavaria,,,Linux-5.15.167.4-microsoft-standard-WSL2-x86_64-with-glibc2.35,3.10.12,3.2.0,8,Intel(R) Core(TM) i7-9700 CPU @ 3.00GHz,,,10.9545,49.9282,31.25782012939453,machine,N,1.0,0.0</t>
  </si>
  <si>
    <t>2025-12-27T14:52:09,generate-LSTM,c0598931-a754-4682-bc23-b83fd0e9bc14,5b0fa12a-3dd7-45bb-9766-cc326314d9f1,23626.946187813,0.1312547527922388,5.555299095739308e-06,32.5,0.0,20.0,0.2132932517503127,0.0,0.1312526277410613,0.3445458794913738,0.0,Germany,DEU,bavaria,Linux-5.15.167.4-microsoft-standard-WSL2-x86_64-with-glibc2.35,3.10.12,3.2.0,8,Intel(R) Core(TM) i7-9700 CPU @ 3.00GHz,10.9545,49.9282,31.25782012939453,machine,N,1.0,0.0,,</t>
  </si>
  <si>
    <t>2025-12-27T21:33:41,generate-LSTM,ea671345-f34f-4183-82ff-5b6e390e1687,5b0fa12a-3dd7-45bb-9766-cc326314d9f1,23910.966801098,0.13283238576022366,5.555291296465853e-06,32.5,0.0,20.0,0.21585685362019114,0.0,0.13283033829534455,0.34868719191553654,0.0,Germany,DEU,bavaria,Linux-5.15.167.4-microsoft-standard-WSL2-x86_64-with-glibc2.35,3.10.12,3.2.0,8,Intel(R) Core(TM) i7-9700 CPU @ 3.00GHz,10.9545,49.9282,31.25782012939453,machine,N,1.0,0.0,,</t>
  </si>
  <si>
    <t>2025-12-28T04:48:42,generate-LSTM,2cfdd427-bfe4-4f8b-b411-e9d6673d7267,5b0fa12a-3dd7-45bb-9766-cc326314d9f1,23874.568545329006,0.13263027896568808,5.555295322462982e-06,32.5,0.0,20.0,0.2155281926329765,0.0,0.13262846563106884,0.34815665826404535,0.0,Germany,DEU,bavaria,,,Linux-5.15.167.4-microsoft-standard-WSL2-x86_64-with-glibc2.35,3.10.12,3.2.0,8,Intel(R) Core(TM) i7-9700 CPU @ 3.00GHz,,,10.9545,49.9282,31.25782012939453,machine,N,1.0,0.0</t>
  </si>
  <si>
    <t>2025-12-28T23:31:32,generate-GPT2,15462c19-9fdf-49de-888b-dc33d48519c6,5b0fa12a-3dd7-45bb-9766-cc326314d9f1,1577.956837722002,0.008766167119465202,5.55539093966624e-06,32.5,0.0,20.0,0.014245250568529934,0.0,0.0087660819408944,0.02301133250942434,0.0,Germany,DEU,bavaria,,,Linux-5.15.167.4-microsoft-standard-WSL2-x86_64-with-glibc2.35,3.10.12,3.2.0,8,Intel(R) Core(TM) i7-9700 CPU @ 3.00GHz,,,10.9545,49.9282,31.25782012939453,machine,N,1.0,0.0</t>
  </si>
  <si>
    <t>2025-12-29T09:01:24,generate-GPT2,065116e8-87d0-4250-a1c5-28150fbdcb61,5b0fa12a-3dd7-45bb-9766-cc326314d9f1,1612.7536103389998,0.008959495456146013,5.555402510779519e-06,32.5,0.0,20.0,0.014559403622535414,0.0,0.008959418942488894,0.023518822565024314,0.0,Germany,DEU,bavaria,,,Linux-5.15.167.4-microsoft-standard-WSL2-x86_64-with-glibc2.35,3.10.12,3.2.0,8,Intel(R) Core(TM) i7-9700 CPU @ 3.00GHz,,,10.9545,49.9282,31.25782012939453,machine,N,1.0,0.0</t>
  </si>
  <si>
    <t>2025-12-29T09:41:20,generate-GPT2,2732f44f-8142-4bc7-b716-32e3269e4cc1,5b0fa12a-3dd7-45bb-9766-cc326314d9f1,1590.2804190859997,0.008834649043213452,5.555403271764544e-06,32.5,0.0,20.0,0.014356537267502086,0.0,0.008834561415300004,0.02319109868280208,0.0,Germany,DEU,bavaria,Linux-5.15.167.4-microsoft-standard-WSL2-x86_64-with-glibc2.35,3.10.12,3.2.0,8,Intel(R) Core(TM) i7-9700 CPU @ 3.00GHz,10.9545,49.9282,31.25782012939453,machine,N,1.0,0.0,,</t>
  </si>
  <si>
    <t>2025-12-29T12:40:26,generate-gpt2-finetuned,3f8d4d1c-8837-4646-9308-c232fb062ab7,5b0fa12a-3dd7-45bb-9766-cc326314d9f1,1822.4293258409998,0.010124273701401863,5.555372467862256e-06,32.5,0.0,20.0,0.016452276479094495,0.0,0.01012410808948893,0.026576384568583442,0.0,Germany,DEU,bavaria,,,Linux-5.15.167.4-microsoft-standard-WSL2-x86_64-with-glibc2.35,3.10.12,3.2.0,8,Intel(R) Core(TM) i7-9700 CPU @ 3.00GHz,,,10.9545,49.9282,31.25782012939453,machine,N,1.0,0.0</t>
  </si>
  <si>
    <t>2025-12-29T13:11:49,generate-gpt2-finetuned,bb085326-4cbf-41f2-bcbb-01ac01b3c32d,5b0fa12a-3dd7-45bb-9766-cc326314d9f1,1797.4119740250007,0.009985326755202972,5.5553912511456786e-06,32.5,0.0,20.0,0.01622640986125983,0.0,0.009985236693938936,0.02621164655519877,0.0,Germany,DEU,bavaria,Linux-5.15.167.4-microsoft-standard-WSL2-x86_64-with-glibc2.35,3.10.12,3.2.0,8,Intel(R) Core(TM) i7-9700 CPU @ 3.00GHz,10.9545,49.9282,31.25782012939453,machine,N,1.0,0.0,,</t>
  </si>
  <si>
    <t>2025-12-29T13:48:08,generate-gpt2-finetuned,40052997-8cc4-4968-a3b0-bcb73fec4ecc,5b0fa12a-3dd7-45bb-9766-cc326314d9f1,1785.76494352,0.009920631472303963,5.555396026953563e-06,32.5,0.0,20.0,0.01612128864345301,0.0,0.009920531732722232,0.02604182037617525,0.0,Germany,DEU,bavaria,,,Linux-5.15.167.4-microsoft-standard-WSL2-x86_64-with-glibc2.35,3.10.12,3.2.0,8,Intel(R) Core(TM) i7-9700 CPU @ 3.00GHz,,,10.9545,49.9282,31.25782012939453,machine,N,1.0,0.0</t>
  </si>
  <si>
    <t>2025-12-29T14:27:28,ts1,4457f405-7819-454e-a342-609713d877fa,5b0fa12a-3dd7-45bb-9766-cc326314d9f1,55.339618961999804,0.00030732776861061676,5.553485448131659e-06,32.5,0.0,20.0,0.0004994705434694475,0.0,0.0003072698912611385,0.0008067404347305861,0.0,Germany,DEU,bavaria,Linux-5.15.167.4-microsoft-standard-WSL2-x86_64-with-glibc2.41,3.9.25,3.2.0,8,Intel(R) Core(TM) i7-9700 CPU @ 3.00GHz,1,1 x NVIDIA GeForce GTX 1050 Ti,10.9545,49.9282,31.25782012939453,machine,N,1.0,0.0,,</t>
  </si>
  <si>
    <t>2025-12-29T14:31:33,ts1,d70b23a5-0c4c-4f82-93fb-ed32ab565f08,5b0fa12a-3dd7-45bb-9766-cc326314d9f1,54.6941567319991,0.00030375541761544424,5.553708764609777e-06,32.5,0.0,20.0,0.0004936462073201281,0.0,0.0003037167474388803,0.0007973629547590083,0.0,Germany,DEU,bavaria,Linux-5.15.167.4-microsoft-standard-WSL2-x86_64-with-glibc2.41,3.9.25,3.2.0,8,Intel(R) Core(TM) i7-9700 CPU @ 3.00GHz,1,1 x NVIDIA GeForce GTX 1050 Ti,10.9545,49.9282,31.25782012939453,machine,N,1.0,0.0,,</t>
  </si>
  <si>
    <t>2025-12-29T14:35:24,ts1,63d5c71a-228e-40ec-996a-42fbb6bb379d,5b0fa12a-3dd7-45bb-9766-cc326314d9f1,54.734418037998694,0.0003039793010857476,5.553713951516096e-06,32.5,0.0,20.0,0.0004940105497527712,0.0,0.00030394010278889463,0.0007979506525416658,0.0,Germany,DEU,bavaria,Linux-5.15.167.4-microsoft-standard-WSL2-x86_64-with-glibc2.41,3.9.25,3.2.0,8,Intel(R) Core(TM) i7-9700 CPU @ 3.00GHz,1,1 x NVIDIA GeForce GTX 1050 Ti,10.9545,49.9282,31.25782012939453,machine,N,1.0,0.0,,</t>
  </si>
  <si>
    <t>2025-12-29T14:39:05,ts1,4a77d6e5-67ba-47ee-8250-9921ae16a2db,5b0fa12a-3dd7-45bb-9766-cc326314d9f1,52.797946074999345,0.00029329658945471097,5.5550757417359365e-06,32.5,0.0,20.0,0.00047661638196252375,0.0,0.00029329197728333785,0.0007699083592458616,0.0,Germany,DEU,bavaria,Linux-5.15.167.4-microsoft-standard-WSL2-x86_64-with-glibc2.41,3.9.25,3.2.0,8,Intel(R) Core(TM) i7-9700 CPU @ 3.00GHz,1,1 x NVIDIA GeForce GTX 1050 Ti,10.9545,49.9282,31.25782012939453,machine,N,1.0,0.0,,</t>
  </si>
  <si>
    <t>2025-12-29T14:41:56,ts1,a919beaa-635a-4451-8a84-5959ad610155,5b0fa12a-3dd7-45bb-9766-cc326314d9f1,53.65587457800211,0.0002976755997994857,5.5478659539271965e-06,32.5,0.0,20.0,0.00048380400278891917,0.0,0.0002975993304555636,0.0007814033332444827,0.0,Germany,DEU,bavaria,Linux-5.15.167.4-microsoft-standard-WSL2-x86_64-with-glibc2.41,3.9.25,3.2.0,8,Intel(R) Core(TM) i7-9700 CPU @ 3.00GHz,1,1 x NVIDIA GeForce GTX 1050 Ti,10.9545,49.9282,31.25782012939453,machine,N,1.0,0.0,,</t>
  </si>
  <si>
    <t>2025-12-29T14:44:36,ts1,f5daabae-0f5c-49bd-8a9f-d2564d77fd7e,5b0fa12a-3dd7-45bb-9766-cc326314d9f1,55.329831531998934,0.00030712703089747314,5.550839798235283e-06,32.5,0.0,20.0,0.0004991447805680056,0.0,0.00030706871437220497,0.0008062134949402104,0.0,Germany,DEU,bavaria,Linux-5.15.167.4-microsoft-standard-WSL2-x86_64-with-glibc2.41,3.9.25,3.2.0,8,Intel(R) Core(TM) i7-9700 CPU @ 3.00GHz,1,1 x NVIDIA GeForce GTX 1050 Ti,10.9545,49.9282,31.25782012939453,machine,N,1.0,0.0,,</t>
  </si>
  <si>
    <t>2025-12-30T16:29:59,lexrank,4598f3b6-afbd-4820-b6bc-99430041cc7a,5b0fa12a-3dd7-45bb-9766-cc326314d9f1,9.1525616359977,5.0840510659107496e-05,5.554784843966308e-06,32.5,0.0,20.0,8.261806480416505e-05,0.0,5.083910978333329e-05,0.00013345717458749834,0.0,Germany,DEU,bavaria,Linux-5.15.167.4-microsoft-standard-WSL2-x86_64-with-glibc2.41,3.9.25,3.2.0,8,Intel(R) Core(TM) i7-9700 CPU @ 3.00GHz,,,10.9545,49.9282,31.25782012939453,machine,N,1.0,0.0,,</t>
  </si>
  <si>
    <t>2025-12-30T16:31:25,lexrank,dd4528b7-c221-4331-bfd7-4830d71558ae,5b0fa12a-3dd7-45bb-9766-cc326314d9f1,9.083006984998065,5.045769366018664e-05,5.555175036584802e-06,32.5,0.0,20.0,8.19965734791544e-05,0.0,5.0455700205546035e-05,0.00013245227368470044,0.0,Germany,DEU,bavaria,Linux-5.15.167.4-microsoft-standard-WSL2-x86_64-with-glibc2.41,3.9.25,3.2.0,8,Intel(R) Core(TM) i7-9700 CPU @ 3.00GHz,,,10.9545,49.9282,31.25782012939453,machine,N,1.0,0.0,,</t>
  </si>
  <si>
    <t>2025-12-30T16:32:57,lexrank,197b94f3-15db-4e03-94fc-5b8625a5f3d0,5b0fa12a-3dd7-45bb-9766-cc326314d9f1,9.31104699199932,5.172449371566679e-05,5.555174811179878e-06,32.5,0.0,20.0,8.405431821945008e-05,0.0,5.172332639445408e-05,0.00013577764461390415,0.0,Germany,DEU,bavaria,Linux-5.15.167.4-microsoft-standard-WSL2-x86_64-with-glibc2.41,3.9.25,3.2.0,8,Intel(R) Core(TM) i7-9700 CPU @ 3.00GHz,,,10.9545,49.9282,31.25782012939453,machine,N,1.0,0.0,,</t>
  </si>
  <si>
    <t>2025-12-30T16:37:25,bert,7f22deaf-c852-428e-b353-f45dbbefdcf3,5b0fa12a-3dd7-45bb-9766-cc326314d9f1,242.547384624002,0.001347436043805957,5.555351775467536e-06,32.5,0.0,20.0,0.002189624264118056,0.0,0.0013474174573833402,0.0035370417215013963,0.0,Germany,DEU,bavaria,Linux-5.15.167.4-microsoft-standard-WSL2-x86_64-with-glibc2.41,3.9.25,3.2.0,8,Intel(R) Core(TM) i7-9700 CPU @ 3.00GHz,,,10.9545,49.9282,31.25782012939453,machine,N,1.0,0.0,,</t>
  </si>
  <si>
    <t>2025-12-30T16:43:21,bert,6539a988-ae04-454b-9e9e-ec278cae352f,5b0fa12a-3dd7-45bb-9766-cc326314d9f1,242.0071312479995,0.001344441748286277,5.555380708631041e-06,32.5,0.0,20.0,0.002184756020281222,0.0,0.0013444256263555469,0.0035291816466367686,0.0,Germany,DEU,bavaria,Linux-5.15.167.4-microsoft-standard-WSL2-x86_64-with-glibc2.41,3.9.25,3.2.0,8,Intel(R) Core(TM) i7-9700 CPU @ 3.00GHz,,,10.9545,49.9282,31.25782012939453,machine,N,1.0,0.0,,</t>
  </si>
  <si>
    <t>2025-12-30T16:49:08,bert,eaa3a947-1b10-4b00-b212-15e6fbdaad8c,5b0fa12a-3dd7-45bb-9766-cc326314d9f1,241.07728481999948,0.0013392724237704721,5.555365470332225e-06,32.5,0.0,20.0,0.0021763535624729708,0.0,0.0013392585225000505,0.0035156120849730204,0.0,Germany,DEU,bavaria,Linux-5.15.167.4-microsoft-standard-WSL2-x86_64-with-glibc2.41,3.9.25,3.2.0,8,Intel(R) Core(TM) i7-9700 CPU @ 3.00GHz,,,10.9545,49.9282,31.25782012939453,machine,N,1.0,0.0,,</t>
  </si>
  <si>
    <t>2025-12-30T17:29:00,mlongt5,73f522db-73ed-4bef-b0f1-c606722d6e9f,5b0fa12a-3dd7-45bb-9766-cc326314d9f1,2165.663662572999,0.01203108448868153,5.555379949621329e-06,32.5,0.0,20.0,0.01955083232833591,0.0,0.012030961840666647,0.03158179416900257,0.0,Germany,DEU,bavaria,Linux-5.15.167.4-microsoft-standard-WSL2-x86_64-with-glibc2.41,3.9.25,3.2.0,8,Intel(R) Core(TM) i7-9700 CPU @ 3.00GHz,,,10.9545,49.9282,31.25782012939453,machine,N,1.0,0.0,,</t>
  </si>
  <si>
    <t>2025-12-30T18:27:07,mlongt5,9073f6f0-9c7d-4106-a736-2f2dc6f50fe3,5b0fa12a-3dd7-45bb-9766-cc326314d9f1,2142.1419008289995,0.011900336496644221,5.555344625880687e-06,32.5,0.0,20.0,0.019338371145618066,0.0,0.011900207399188909,0.031238578544806984,0.0,Germany,DEU,bavaria,Linux-5.15.167.4-microsoft-standard-WSL2-x86_64-with-glibc2.41,3.9.25,3.2.0,8,Intel(R) Core(TM) i7-9700 CPU @ 3.00GHz,,,10.9545,49.9282,31.25782012939453,machine,N,1.0,0.0,,</t>
  </si>
  <si>
    <t>2025-12-30T19:04:59,mlongt5,5319f157-729e-48ad-b054-7e56b3034f50,5b0fa12a-3dd7-45bb-9766-cc326314d9f1,2181.284145988997,0.0121178239574131,5.555362413326926e-06,32.5,0.0,20.0,0.0196917927737015,0.0,0.0121176939237999,0.0318094866975015,0.0,Germany,DEU,bavaria,Linux-5.15.167.4-microsoft-standard-WSL2-x86_64-with-glibc2.41,3.9.25,3.2.0,8,Intel(R) Core(TM) i7-9700 CPU @ 3.00GHz,,,10.9545,49.9282,31.25782012939453,machine,N,1.0,0.0,,</t>
  </si>
  <si>
    <t>2025-12-30T23:18:35,mixtral,a4436a67-903b-41fe-8017-256c7466707a,5b0fa12a-3dd7-45bb-9766-cc326314d9f1,11264.4340982,0.33372128555634617,2.962610306448268e-05,260.0,0.0,20.0,0.8134522542322431,0.0,0.06257159550222496,0.8760238497344696,Germany,DEU,bavaria,,,Windows-11-10.0.26200-SP0,3.13.2,3.0.7,8,Intel(R) Core(TM) i7-9700 CPU @ 3.00GHz,1,1 x NVIDIA GeForce GTX 1050 Ti,10.9545,49.9282,63.81718826293945,machine,N,1.0</t>
  </si>
  <si>
    <t>2025-12-31T03:01:31,mixtral,6e4058a6-00bf-4e40-9d86-643c5c125c3e,5b0fa12a-3dd7-45bb-9766-cc326314d9f1,11308.57178160001,0.3350297559876741,2.962617759855364e-05,260.0,0.0,20.0,0.8166416140783779,0.0,0.06281699200555348,0.8794586060839324,Germany,DEU,bavaria,,,Windows-11-10.0.26200-SP0,3.13.2,3.0.7,8,Intel(R) Core(TM) i7-9700 CPU @ 3.00GHz,1,1 x NVIDIA GeForce GTX 1050 Ti,10.9545,49.9282,63.81718826293945,machine,N,1.0</t>
  </si>
  <si>
    <t>2025-12-31T11:53:17,mixtral,b50a6d3a-074b-472a-bfbc-707d9918d6fa,5b0fa12a-3dd7-45bb-9766-cc326314d9f1,11317.20445619998,0.3352857946085701,2.9626202822984987e-05,260.0,0.0,20.0,0.8172657120044454,0.0,0.06286499965999974,0.8801307116644443,Germany,DEU,bavaria,,,Windows-11-10.0.26200-SP0,3.13.2,3.0.7,8,Intel(R) Core(TM) i7-9700 CPU @ 3.00GHz,1,1 x NVIDIA GeForce GTX 1050 Ti,10.9545,49.9282,63.81718826293945,machine,N,1.0</t>
  </si>
  <si>
    <t>2025-12-31T14:30:05,mixtral,13a6b7b3-59ca-4782-9b88-a1bf1eb18d27,5b0fa12a-3dd7-45bb-9766-cc326314d9f1,4950.876744499983,0.1466646736492652,2.9623979997522173e-05,260.0,0.0,20.0,0.3574980392677737,0.0,0.027499135293888678,0.3849971745616621,Germany,DEU,bavaria,,,Windows-11-10.0.26200-SP0,3.13.2,3.0.7,8,Intel(R) Core(TM) i7-9700 CPU @ 3.00GHz,1,1 x NVIDIA GeForce GTX 1050 Ti,10.9545,49.9282,63.81718826293945,machine,N,1.0</t>
  </si>
  <si>
    <t>2026-01-01T13:22:43,mixtral,4eb74103-2812-4c94-b26b-7f6f50beb59a,5b0fa12a-3dd7-45bb-9766-cc326314d9f1,4909.802398899999,0.14545846044846386,2.9626133320773282e-05,260.0,0.0,20.0,0.35455785762222214,0.0,0.027272987497777745,0.38183084511999965,Germany,DEU,bavaria,,,Windows-11-10.0.26200-SP0,3.13.2,3.0.7,8,Intel(R) Core(TM) i7-9700 CPU @ 3.00GHz,1,1 x NVIDIA GeForce GTX 1050 Ti,10.9545,49.9282,63.81718826293945,machine,N,1.0</t>
  </si>
  <si>
    <t>2026-01-01T15:20:24,mixtral,bee09ecd-11a9-4715-8db7-705a45ffb797,5b0fa12a-3dd7-45bb-9766-cc326314d9f1,5056.5290432,0.1498055005533684,2.96261524997718e-05,260.0,0.0,20.0,0.36515385046111287,0.0,0.028088046253333387,0.3932418967144465,Germany,DEU,bavaria,,,Windows-11-10.0.26200-SP0,3.13.2,3.0.7,8,Intel(R) Core(TM) i7-9700 CPU @ 3.00GHz,1,1 x NVIDIA GeForce GTX 1050 Ti,10.9545,49.9282,63.81718826293945,machine,N,1.0</t>
  </si>
  <si>
    <t>2026-01-05T15:10:10,lexrank-emails,88c9fd92-1d96-4e4a-a246-33c050ff163b,5b0fa12a-3dd7-45bb-9766-cc326314d9f1,0.3268060219999995,1.8127360578949389e-06,5.546825749419457e-06,32.5,0.0,20.0,2.947565120138846e-06,0.0,1.810896772222195e-06,4.7584618923610415e-06,0.0,Germany,DEU,bavaria,Linux-5.15.167.4-microsoft-standard-WSL2-x86_64-with-glibc2.41,3.9.25,3.2.0,8,Intel(R) Core(TM) i7-9700 CPU @ 3.00GHz,10.9545,49.9282,31.25782012939453,machine,N,1.0,0.0,,</t>
  </si>
  <si>
    <t>2026-01-05T15:10:21,lexrank-emails,f8f017f5-df08-46f1-ad82-adab43613cf9,5b0fa12a-3dd7-45bb-9766-cc326314d9f1,0.340255851000002,1.887615613704341e-06,5.5476360161234375e-06,32.5,0.0,20.0,3.069364521527771e-06,0.0,1.885657433333342e-06,4.955021954861113e-06,0.0,Germany,DEU,bavaria,Linux-5.15.167.4-microsoft-standard-WSL2-x86_64-with-glibc2.41,3.9.25,3.2.0,8,Intel(R) Core(TM) i7-9700 CPU @ 3.00GHz,10.9545,49.9282,31.25782012939453,machine,N,1.0,0.0,,</t>
  </si>
  <si>
    <t>2026-01-05T15:10:31,lexrank-emails,1514f76e-2e38-4925-a082-6963646788de,5b0fa12a-3dd7-45bb-9766-cc326314d9f1,0.3246900469999971,1.7997754730261045e-06,5.543057108326206e-06,32.5,0.0,20.0,2.9266326555555325e-06,0.0,1.7978074888888942e-06,4.724440144444426e-06,0.0,Germany,DEU,bavaria,Linux-5.15.167.4-microsoft-standard-WSL2-x86_64-with-glibc2.41,3.9.25,3.2.0,8,Intel(R) Core(TM) i7-9700 CPU @ 3.00GHz,10.9545,49.9282,31.25782012939453,machine,N,1.0,0.0,,</t>
  </si>
  <si>
    <t>2026-01-05T15:10:41,lexrank-news-EN,b0e664cd-1f63-41d5-b3b5-a488e934577a,5b0fa12a-3dd7-45bb-9766-cc326314d9f1,0.22330078500000639,1.2368299097118083e-06,5.538851597462019e-06,32.5,0.0,20.0,2.0117506770832744e-06,0.0,1.2349481277777524e-06,3.246698804861027e-06,0.0,Germany,DEU,bavaria,Linux-5.15.167.4-microsoft-standard-WSL2-x86_64-with-glibc2.41,3.9.25,3.2.0,8,Intel(R) Core(TM) i7-9700 CPU @ 3.00GHz,10.9545,49.9282,31.25782012939453,machine,N,1.0,0.0,,</t>
  </si>
  <si>
    <t>2026-01-05T15:10:49,lexrank-news-EN,4daab2a7-c7e1-4f02-916e-57f409269d22,5b0fa12a-3dd7-45bb-9766-cc326314d9f1,0.2154870819999956,1.1944853013514212e-06,5.543187509270023e-06,32.5,0.0,20.0,1.94279279097224e-06,0.0,1.1927507222221973e-06,3.1355435131944378e-06,0.0,Germany,DEU,bavaria,Linux-5.15.167.4-microsoft-standard-WSL2-x86_64-with-glibc2.41,3.9.25,3.2.0,8,Intel(R) Core(TM) i7-9700 CPU @ 3.00GHz,10.9545,49.9282,31.25782012939453,machine,N,1.0,0.0,,</t>
  </si>
  <si>
    <t>2026-01-05T15:10:56,lexrank-news-EN,af068681-3ea2-43ff-afce-d82c73701362,5b0fa12a-3dd7-45bb-9766-cc326314d9f1,0.2630468699999966,1.4587640636199497e-06,5.545643115312372e-06,32.5,0.0,20.0,2.372221583333249e-06,0.0,1.4570580166666187e-06,3.8292795999998675e-06,0.0,Germany,DEU,bavaria,Linux-5.15.167.4-microsoft-standard-WSL2-x86_64-with-glibc2.41,3.9.25,3.2.0,8,Intel(R) Core(TM) i7-9700 CPU @ 3.00GHz,10.9545,49.9282,31.25782012939453,machine,N,1.0,0.0,,</t>
  </si>
  <si>
    <t>2026-01-05T15:11:08,lexrank-papers-FR,65255b49-e6e4-4f5f-bdba-eefb71cbc6d4,5b0fa12a-3dd7-45bb-9766-cc326314d9f1,1.815855791000004,1.0085915957075714e-05,5.554359551603672e-06,32.5,0.0,20.0,1.6391665577083298e-05,0.0,1.008402928333333e-05,2.647569486041663e-05,0.0,Germany,DEU,bavaria,Linux-5.15.167.4-microsoft-standard-WSL2-x86_64-with-glibc2.41,3.9.25,3.2.0,8,Intel(R) Core(TM) i7-9700 CPU @ 3.00GHz,10.9545,49.9282,31.25782012939453,machine,N,1.0,0.0,,</t>
  </si>
  <si>
    <t>2026-01-05T15:11:17,lexrank-papers-FR,0129b00f-dd02-485b-820b-656b1a8b3414,5b0fa12a-3dd7-45bb-9766-cc326314d9f1,1.7719456759999872,9.841955036073773e-06,5.554320975737319e-06,32.5,0.0,20.0,1.5995047123610995e-05,0.0,9.84024631666666e-06,2.5835293440277657e-05,0.0,Germany,DEU,bavaria,Linux-5.15.167.4-microsoft-standard-WSL2-x86_64-with-glibc2.41,3.9.25,3.2.0,8,Intel(R) Core(TM) i7-9700 CPU @ 3.00GHz,10.9545,49.9282,31.25782012939453,machine,N,1.0,0.0,,</t>
  </si>
  <si>
    <t>2026-01-05T15:11:27,lexrank-papers-FR,c1ad002d-ad6f-442d-bea7-7edcf794b09b,5b0fa12a-3dd7-45bb-9766-cc326314d9f1,1.798337484000001,9.988946280600292e-06,5.554544889083949e-06,32.5,0.0,20.0,1.6233730852083333e-05,0.0,9.987417016666617e-06,2.6221147868749948e-05,0.0,Germany,DEU,bavaria,Linux-5.15.167.4-microsoft-standard-WSL2-x86_64-with-glibc2.41,3.9.25,3.2.0,8,Intel(R) Core(TM) i7-9700 CPU @ 3.00GHz,10.9545,49.9282,31.25782012939453,machine,N,1.0,0.0,,</t>
  </si>
  <si>
    <t>2026-01-05T15:11:40,lexrank-school-DE,9850b9cc-e5fc-41ab-a71b-84dd7628b280,5b0fa12a-3dd7-45bb-9766-cc326314d9f1,2.8588275959999976,1.5878670102136035e-05,5.554259418914623e-06,32.5,0.0,20.0,2.5805814179166643e-05,0.0,1.5875955350000006e-05,4.168176952916665e-05,0.0,Germany,DEU,bavaria,Linux-5.15.167.4-microsoft-standard-WSL2-x86_64-with-glibc2.41,3.9.25,3.2.0,8,Intel(R) Core(TM) i7-9700 CPU @ 3.00GHz,10.9545,49.9282,31.25782012939453,machine,N,1.0,0.0,,</t>
  </si>
  <si>
    <t>2026-01-05T15:11:51,lexrank-school-DE,f969f73f-76cd-400e-8f1e-e90df14bd851,5b0fa12a-3dd7-45bb-9766-cc326314d9f1,2.688644743999987,1.4933457764247362e-05,5.55426959905099e-06,32.5,0.0,20.0,2.426908547916662e-05,0.0,1.493148615555542e-05,3.920057163472204e-05,0.0,Germany,DEU,bavaria,Linux-5.15.167.4-microsoft-standard-WSL2-x86_64-with-glibc2.41,3.9.25,3.2.0,8,Intel(R) Core(TM) i7-9700 CPU @ 3.00GHz,10.9545,49.9282,31.25782012939453,machine,N,1.0,0.0,,</t>
  </si>
  <si>
    <t>2026-01-05T15:12:01,lexrank-school-DE,ebcbf951-63ba-4ea2-af9c-35302bd02d53,5b0fa12a-3dd7-45bb-9766-cc326314d9f1,2.668316398999991,1.4820441537269844e-05,5.554229454507015e-06,32.5,0.0,20.0,2.4085252406944335e-05,0.0,1.4818649777777655e-05,3.890390218472199e-05,0.0,Germany,DEU,bavaria,Linux-5.15.167.4-microsoft-standard-WSL2-x86_64-with-glibc2.41,3.9.25,3.2.0,8,Intel(R) Core(TM) i7-9700 CPU @ 3.00GHz,10.9545,49.9282,31.25782012939453,machine,N,1.0,0.0,,</t>
  </si>
  <si>
    <t>2026-01-05T15:12:11,lexrank-web-IT,499053dc-9ad9-44b3-b079-39237f2d886d,5b0fa12a-3dd7-45bb-9766-cc326314d9f1,0.6087383169999896,3.378228086736105e-06,5.549557161745353e-06,32.5,0.0,20.0,5.4919664854166525e-06,0.0,3.375937666666573e-06,8.867904152083225e-06,0.0,Germany,DEU,bavaria,Linux-5.15.167.4-microsoft-standard-WSL2-x86_64-with-glibc2.41,3.9.25,3.2.0,8,Intel(R) Core(TM) i7-9700 CPU @ 3.00GHz,10.9545,49.9282,31.25782012939453,machine,N,1.0,0.0,,</t>
  </si>
  <si>
    <t>2026-01-05T15:12:19,lexrank-web-IT,25b147a1-3f90-49c1-9565-4791dc3950b7,5b0fa12a-3dd7-45bb-9766-cc326314d9f1,0.6082428979999861,3.3748711619497907e-06,5.54855827013679e-06,32.5,0.0,20.0,5.486379780555437e-06,0.0,3.3727123888888225e-06,8.85909216944426e-06,0.0,Germany,DEU,bavaria,Linux-5.15.167.4-microsoft-standard-WSL2-x86_64-with-glibc2.41,3.9.25,3.2.0,8,Intel(R) Core(TM) i7-9700 CPU @ 3.00GHz,10.9545,49.9282,31.25782012939453,machine,N,1.0,0.0,,</t>
  </si>
  <si>
    <t>2026-01-05T15:12:27,lexrank-web-IT,7f572cfa-9c9f-4246-90dd-363c06360ce5,5b0fa12a-3dd7-45bb-9766-cc326314d9f1,0.6070835499999987,3.3691787528186314e-06,5.5497777082225975e-06,32.5,0.0,20.0,5.476718857638908e-06,0.0,3.3674306444443873e-06,8.844149502083295e-06,0.0,Germany,DEU,bavaria,,,Linux-5.15.167.4-microsoft-standard-WSL2-x86_64-with-glibc2.41,3.9.25,3.2.0,8,Intel(R) Core(TM) i7-9700 CPU @ 3.00GHz,,,10.9545,49.9282,31.25782012939453,machine,N,1.0,0.0</t>
  </si>
  <si>
    <t>2026-01-02T08:56:08,mlongt5-emails,9e8dd38f-c376-40a9-a4df-ebe9aa848a96,5b0fa12a-3dd7-45bb-9766-cc326314d9f1,346.006857713,0.0019221577724957155,5.555259179545149e-06,32.5,0.0,20.0,0.003123565689860416,0.0,0.001922129998538889,0.005045695688399306,0.0,Germany,DEU,bavaria,Linux-5.15.167.4-microsoft-standard-WSL2-x86_64-with-glibc2.35,3.11.9,3.2.0,8,Intel(R) Core(TM) i7-9700 CPU @ 3.00GHz,,,10.9545,49.9282,31.25782012939453,machine,N,1.0,0.0,,</t>
  </si>
  <si>
    <t>2026-01-02T09:07:15,mlongt5-emails,dcdbae2e-243d-4c8b-ba1f-59142db41bb5,5b0fa12a-3dd7-45bb-9766-cc326314d9f1,344.4469072769999,0.0019135390133378993,5.555396123208779e-06,32.5,0.0,20.0,0.0031095492742798615,0.0,0.0019135220299277768,0.005023071304207637,0.0,Germany,DEU,bavaria,Linux-5.15.167.4-microsoft-standard-WSL2-x86_64-with-glibc2.35,3.11.9,3.2.0,8,Intel(R) Core(TM) i7-9700 CPU @ 3.00GHz,,,10.9545,49.9282,31.25782012939453,machine,N,1.0,0.0,,</t>
  </si>
  <si>
    <t>2026-01-02T09:33:17,mlongt5-emails,f0e46f18-57e5-4f97-bd0a-d2ac654fd3b9,5b0fa12a-3dd7-45bb-9766-cc326314d9f1,325.6967275520001,0.0018093595985712542,5.555350869413864e-06,32.5,0.0,20.0,0.0029402638320520902,0.0,0.001809334799188898,0.004749598631240987,0.0,Germany,DEU,bavaria,Linux-5.15.167.4-microsoft-standard-WSL2-x86_64-with-glibc2.35,3.11.9,3.2.0,8,Intel(R) Core(TM) i7-9700 CPU @ 3.00GHz,,,10.9545,49.9282,31.25782012939453,machine,N,1.0,0.0,,</t>
  </si>
  <si>
    <t>2026-01-03T09:17:08,mlongt5-emails,d6b58866-9211-4b29-8489-74d46c70b2f2,5b0fa12a-3dd7-45bb-9766-cc326314d9f1,789.814920304,0.004387611910656281,5.555240598604402e-06,32.5,0.0,20.0,0.007129961221175001,0.0,0.004387592029005557,0.01151755325018055,0.0,Germany,DEU,bavaria,Linux-5.15.167.4-microsoft-standard-WSL2-x86_64-with-glibc2.35,3.11.9,3.2.0,8,Intel(R) Core(TM) i7-9700 CPU @ 3.00GHz,1.0,1 x NVIDIA GeForce GTX 1050 Ti,10.9545,49.9282,31.25782012939453,machine,N,1.0,0.0,,</t>
  </si>
  <si>
    <t>2026-01-03T09:30:31,mlongt5-emails,c5477f8f-c3ce-4dcf-90ca-0de2902afe59,5b0fa12a-3dd7-45bb-9766-cc326314d9f1,723.07089245,0.004016816315178425,5.555217831502167e-06,32.5,0.0,20.0,0.0065274160986756955,0.0,0.00401679262997222,0.010544208728647921,0.0,Germany,DEU,bavaria,Linux-5.15.167.4-microsoft-standard-WSL2-x86_64-with-glibc2.35,3.11.9,3.2.0,8,Intel(R) Core(TM) i7-9700 CPU @ 3.00GHz,1.0,1 x NVIDIA GeForce GTX 1050 Ti,10.9545,49.9282,31.25782012939453,machine,N,1.0,0.0,,</t>
  </si>
  <si>
    <t>2026-01-03T10:22:58,mlongt5-emails,f9b6e7fd-2a0d-4cfe-b97d-d25ec1a41260,5b0fa12a-3dd7-45bb-9766-cc326314d9f1,716.7430978829998,0.003981664119847689,5.555217945743861e-06,32.5,0.0,20.0,0.006470289051696548,0.0,0.003981644587488882,0.010451933639185429,0.0,Germany,DEU,bavaria,Linux-5.15.167.4-microsoft-standard-WSL2-x86_64-with-glibc2.35,3.11.9,3.2.0,8,Intel(R) Core(TM) i7-9700 CPU @ 3.00GHz,1.0,1 x NVIDIA GeForce GTX 1050 Ti,10.9545,49.9282,31.25782012939453,machine,N,1.0,0.0,,</t>
  </si>
  <si>
    <t>2026-01-02T10:38:03,mlongt5-news-en,39481897-2bf2-40f2-b883-36006fb5d915,5b0fa12a-3dd7-45bb-9766-cc326314d9f1,239.46892343200034,0.0013303205309994825,5.5552950751759686e-06,32.5,0.0,20.0,0.00216180929301459,0.0,0.0013303039265666738,0.003492113219581264,0.0,Germany,DEU,bavaria,Linux-5.15.167.4-microsoft-standard-WSL2-x86_64-with-glibc2.35,3.11.9,3.2.0,8,Intel(R) Core(TM) i7-9700 CPU @ 3.00GHz,,,10.9545,49.9282,31.25782012939453,machine,N,1.0,0.0,,</t>
  </si>
  <si>
    <t>2026-01-02T10:44:22,mlongt5-news-en,7dc20f98-d84b-4d91-bebe-9b3a7e11523a,5b0fa12a-3dd7-45bb-9766-cc326314d9f1,240.33166512000025,0.0013351327829399114,5.555376076944605e-06,32.5,0.0,20.0,0.0021696271560708268,0.0,0.0013351183038055648,0.0035047454598763914,0.0,Germany,DEU,bavaria,Linux-5.15.167.4-microsoft-standard-WSL2-x86_64-with-glibc2.35,3.11.9,3.2.0,8,Intel(R) Core(TM) i7-9700 CPU @ 3.00GHz,,,10.9545,49.9282,31.25782012939453,machine,N,1.0,0.0,,</t>
  </si>
  <si>
    <t>2026-01-02T10:49:09,mlongt5-news-en,8915f451-0b7b-42dd-98cb-5b5fbea7e20e,5b0fa12a-3dd7-45bb-9766-cc326314d9f1,247.25196800899994,0.0013735780449407092,5.555377601244052e-06,32.5,0.0,20.0,0.002232101773163903,0.0,0.001373563130211106,0.003605664903375008,0.0,Germany,DEU,bavaria,Linux-5.15.167.4-microsoft-standard-WSL2-x86_64-with-glibc2.35,3.11.9,3.2.0,8,Intel(R) Core(TM) i7-9700 CPU @ 3.00GHz,,,10.9545,49.9282,31.25782012939453,machine,N,1.0,0.0,,</t>
  </si>
  <si>
    <t>2026-01-03T11:00:34,mlongt5-news-en,68e0c051-cc50-4209-a1e9-05a8027af36b,5b0fa12a-3dd7-45bb-9766-cc326314d9f1,235.42344452700036,0.0013077822169021269,5.555021164224531e-06,32.5,0.0,20.0,0.0021251812255375087,0.0,0.0013077685497666707,0.0034329497753041787,0.0,Germany,DEU,bavaria,Linux-5.15.167.4-microsoft-standard-WSL2-x86_64-with-glibc2.35,3.11.9,3.2.0,8,Intel(R) Core(TM) i7-9700 CPU @ 3.00GHz,1.0,1 x NVIDIA GeForce GTX 1050 Ti,10.9545,49.9282,31.25782012939453,machine,N,1.0,0.0,,</t>
  </si>
  <si>
    <t>2026-01-03T11:37:18,mlongt5-news-en,c12ad9b6-42f1-4e54-a43c-150249954261,5b0fa12a-3dd7-45bb-9766-cc326314d9f1,234.0078317110001,0.0012999112018795978,5.554990157273836e-06,32.5,0.0,20.0,0.0021123938708798597,0.0,0.001299894360855534,0.0034122882317353925,0.0,Germany,DEU,bavaria,Linux-5.15.167.4-microsoft-standard-WSL2-x86_64-with-glibc2.35,3.11.9,3.2.0,8,Intel(R) Core(TM) i7-9700 CPU @ 3.00GHz,1.0,1 x NVIDIA GeForce GTX 1050 Ti,10.9545,49.9282,31.25782012939453,machine,N,1.0,0.0,,</t>
  </si>
  <si>
    <t>2026-01-03T11:45:24,mlongt5-news-en,db56a937-1942-4b1e-8b51-88b60a64385d,5b0fa12a-3dd7-45bb-9766-cc326314d9f1,239.6434339569987,0.0013311982177565144,5.554912128305518e-06,32.5,0.0,20.0,0.0021632348576403303,0.0,0.0013311823040777807,0.003494417161718111,0.0,Germany,DEU,bavaria,Linux-5.15.167.4-microsoft-standard-WSL2-x86_64-with-glibc2.35,3.11.9,3.2.0,8,Intel(R) Core(TM) i7-9700 CPU @ 3.00GHz,1.0,1 x NVIDIA GeForce GTX 1050 Ti,10.9545,49.9282,31.25782012939453,machine,N,1.0,0.0,,</t>
  </si>
  <si>
    <t>2026-01-02T11:04:16,mlongt5-papers,a6adc8cd-9d86-4856-8fc8-d39bac325e96,5b0fa12a-3dd7-45bb-9766-cc326314d9f1,841.6957276079993,0.004675924794456963,5.555362396510427e-06,32.5,0.0,20.0,0.00759852981160903,0.0,0.004675849488711124,0.012274379300320154,0.0,Germany,DEU,bavaria,Linux-5.15.167.4-microsoft-standard-WSL2-x86_64-with-glibc2.35,3.11.9,3.2.0,8,Intel(R) Core(TM) i7-9700 CPU @ 3.00GHz,,,10.9545,49.9282,31.25782012939453,machine,N,1.0,0.0,,</t>
  </si>
  <si>
    <t>2026-01-02T12:32:29,mlongt5-papers,2ce6d9b2-5ab3-43ed-a747-c7f2577cb65a,5b0fa12a-3dd7-45bb-9766-cc326314d9f1,869.7210449230006,0.004831611639395909,5.555357855947557e-06,32.5,0.0,20.0,0.007851531364110357,0.0,0.004831528458427794,0.012683059822538152,0.0,Germany,DEU,bavaria,Linux-5.15.167.4-microsoft-standard-WSL2-x86_64-with-glibc2.35,3.11.9,3.2.0,8,Intel(R) Core(TM) i7-9700 CPU @ 3.00GHz,,,10.9545,49.9282,31.25782012939453,machine,N,1.0,0.0,,</t>
  </si>
  <si>
    <t>2026-01-02T13:19:17,mlongt5-papers,65bac89c-8eae-4e8a-a8e2-257c32cfe23c,5b0fa12a-3dd7-45bb-9766-cc326314d9f1,885.1439599760015,0.004917200530396412,5.555255136723443e-06,32.5,0.0,20.0,0.00799066496066046,0.0,0.0049170671049555284,0.01290773206561599,0.0,Germany,DEU,bavaria,Linux-5.15.167.4-microsoft-standard-WSL2-x86_64-with-glibc2.35,3.11.9,3.2.0,8,Intel(R) Core(TM) i7-9700 CPU @ 3.00GHz,,,10.9545,49.9282,31.25782012939453,machine,N,1.0,0.0,,</t>
  </si>
  <si>
    <t>2026-01-03T12:34:11,mlongt5-papers,f7eb05d7-b65a-4eb1-ae25-1e76e1f88b6b,5b0fa12a-3dd7-45bb-9766-cc326314d9f1,865.642534175,0.004808618281626214,5.554969969456347e-06,32.5,0.0,20.0,0.00781416696861666,0.0,0.004808534912538904,0.012622701881155569,0.0,Germany,DEU,bavaria,Linux-5.15.167.4-microsoft-standard-WSL2-x86_64-with-glibc2.35,3.11.9,3.2.0,8,Intel(R) Core(TM) i7-9700 CPU @ 3.00GHz,1.0,1 x NVIDIA GeForce GTX 1050 Ti,10.9545,49.9282,31.25782012939453,machine,N,1.0,0.0,,</t>
  </si>
  <si>
    <t>2026-01-03T12:50:58,mlongt5-papers,1b5e0b00-34a5-44a6-b58e-a1b114024d5b,5b0fa12a-3dd7-45bb-9766-cc326314d9f1,867.4099871669987,0.0048185136558548496,5.555058999945734e-06,32.5,0.0,20.0,0.007830219462469399,0.0,0.004818457938383331,0.012648677400852735,0.0,Germany,DEU,bavaria,Linux-5.15.167.4-microsoft-standard-WSL2-x86_64-with-glibc2.35,3.11.9,3.2.0,8,Intel(R) Core(TM) i7-9700 CPU @ 3.00GHz,1.0,1 x NVIDIA GeForce GTX 1050 Ti,10.9545,49.9282,31.25782012939453,machine,N,1.0,0.0,,</t>
  </si>
  <si>
    <t>2026-01-03T13:05:27,mlongt5-papers,34650372-3cf0-4a8d-a690-81a77f83ff0d,5b0fa12a-3dd7-45bb-9766-cc326314d9f1,841.3327081649986,0.004673702780705242,5.555118367974653e-06,32.5,0.0,20.0,0.0075948936411834,0.0,0.004673652836583349,0.012268546477766746,0.0,Germany,DEU,bavaria,Linux-5.15.167.4-microsoft-standard-WSL2-x86_64-with-glibc2.35,3.11.9,3.2.0,8,Intel(R) Core(TM) i7-9700 CPU @ 3.00GHz,1.0,1 x NVIDIA GeForce GTX 1050 Ti,10.9545,49.9282,31.25782012939453,machine,N,1.0,0.0,,</t>
  </si>
  <si>
    <t>2026-01-02T14:02:43,mlongt5-school,6795e790-e647-44c5-bee4-5bfe79167120,5b0fa12a-3dd7-45bb-9766-cc326314d9f1,497.2976340819987,0.0027626764319750394,5.555378193332618e-06,32.5,0.0,20.0,0.004489426355989034,0.0,0.00276264460338894,0.007252070959377974,0.0,Germany,DEU,bavaria,Linux-5.15.167.4-microsoft-standard-WSL2-x86_64-with-glibc2.35,3.11.9,3.2.0,8,Intel(R) Core(TM) i7-9700 CPU @ 3.00GHz,,,10.9545,49.9282,31.25782012939453,machine,N,1.0,0.0,,</t>
  </si>
  <si>
    <t>2026-01-02T17:09:59,mlongt5-school,73b7c43c-6582-436f-b725-1cba7eadafb8,5b0fa12a-3dd7-45bb-9766-cc326314d9f1,491.42447647800145,0.002730044479717014,5.555369360685932e-06,32.5,0.0,20.0,0.004436396716718216,0.0,0.0027300148326111317,0.007166411549329344,0.0,Germany,DEU,bavaria,Linux-5.15.167.4-microsoft-standard-WSL2-x86_64-with-glibc2.35,3.11.9,3.2.0,8,Intel(R) Core(TM) i7-9700 CPU @ 3.00GHz,,,10.9545,49.9282,31.25782012939453,machine,N,1.0,0.0,,</t>
  </si>
  <si>
    <t>2026-01-02T18:08:53,mlongt5-school,99f4eb3d-526f-4054-b6fb-92baa273f7e6,5b0fa12a-3dd7-45bb-9766-cc326314d9f1,494.67675352299557,0.0027481280569737784,5.5554016585621276e-06,32.5,0.0,20.0,0.004465780418919459,0.0,0.002748100817394435,0.007213881236313896,0.0,Germany,DEU,bavaria,Linux-5.15.167.4-microsoft-standard-WSL2-x86_64-with-glibc2.35,3.11.9,3.2.0,8,Intel(R) Core(TM) i7-9700 CPU @ 3.00GHz,,,10.9545,49.9282,31.25782012939453,machine,N,1.0,0.0,,</t>
  </si>
  <si>
    <t>2026-01-03T14:30:14,mlongt5-school,40c05965-e3d8-4e83-81b1-e9aa88e422ee,5b0fa12a-3dd7-45bb-9766-cc326314d9f1,492.9318321119972,0.0027382725765510768,5.55507353789423e-06,32.5,0.0,20.0,0.004449788770384015,0.0,0.0027382216681278004,0.007188010438511817,0.0,Germany,DEU,bavaria,Linux-5.15.167.4-microsoft-standard-WSL2-x86_64-with-glibc2.35,3.11.9,3.2.0,8,Intel(R) Core(TM) i7-9700 CPU @ 3.00GHz,1.0,1 x NVIDIA GeForce GTX 1050 Ti,10.9545,49.9282,31.25782012939453,machine,N,1.0,0.0,,</t>
  </si>
  <si>
    <t>2026-01-03T17:44:12,mlongt5-school,e5fb25eb-ec55-49d2-9aeb-36a4fdcda2fc,5b0fa12a-3dd7-45bb-9766-cc326314d9f1,494.9659621409992,0.0027495911913944216,5.55511166768101e-06,32.5,0.0,20.0,0.004468155355633965,0.0,0.00274956663253882,0.007217721988172783,0.0,Germany,DEU,bavaria,Linux-5.15.167.4-microsoft-standard-WSL2-x86_64-with-glibc2.35,3.11.9,3.2.0,8,Intel(R) Core(TM) i7-9700 CPU @ 3.00GHz,1.0,1 x NVIDIA GeForce GTX 1050 Ti,10.9545,49.9282,31.25782012939453,machine,N,1.0,0.0,,</t>
  </si>
  <si>
    <t>2026-01-03T17:56:05,mlongt5-school,a2eb7313-222a-4b2b-b186-a6ec3d6a0d6b,5b0fa12a-3dd7-45bb-9766-cc326314d9f1,492.5326442930018,0.0027360710606511166,5.555106026684924e-06,32.5,0.0,20.0,0.004446196442350014,0.0,0.002736034980805562,0.0071822314231555755,0.0,Germany,DEU,bavaria,Linux-5.15.167.4-microsoft-standard-WSL2-x86_64-with-glibc2.35,3.11.9,3.2.0,8,Intel(R) Core(TM) i7-9700 CPU @ 3.00GHz,1.0,1 x NVIDIA GeForce GTX 1050 Ti,10.9545,49.9282,31.25782012939453,machine,N,1.0,0.0,,</t>
  </si>
  <si>
    <t>2026-01-02T18:43:25,mlongt5-web,1d741dad-2975-41ed-9b17-55eded978c53,5b0fa12a-3dd7-45bb-9766-cc326314d9f1,186.1872450689989,0.0010343333770359577,5.5553396079986326e-06,32.5,0.0,20.0,0.001680821459696351,0.0,0.001034320624661066,0.0027151420843574163,0.0,Germany,DEU,bavaria,Linux-5.15.167.4-microsoft-standard-WSL2-x86_64-with-glibc2.35,3.11.9,3.2.0,8,Intel(R) Core(TM) i7-9700 CPU @ 3.00GHz,,,10.9545,49.9282,31.25782012939453,machine,N,1.0,0.0,,</t>
  </si>
  <si>
    <t>2026-01-02T19:39:50,mlongt5-web,2a8b1a9e-2dc9-4c26-8cf3-a39fe7b01b02,5b0fa12a-3dd7-45bb-9766-cc326314d9f1,189.68727305399807,0.0010537794296382864,5.555351250889184e-06,32.5,0.0,20.0,0.0017124194921438883,0.0,0.0010537687993334352,0.0027661882914773238,0.0,Germany,DEU,bavaria,Linux-5.15.167.4-microsoft-standard-WSL2-x86_64-with-glibc2.35,3.11.9,3.2.0,8,Intel(R) Core(TM) i7-9700 CPU @ 3.00GHz,,,10.9545,49.9282,31.25782012939453,machine,N,1.0,0.0,,</t>
  </si>
  <si>
    <t>2026-01-02T22:46:29,mlongt5-web,d68014f0-3b82-451a-8bc6-1408b0e41675,5b0fa12a-3dd7-45bb-9766-cc326314d9f1,188.04151653000008,0.0010446435949978197,5.55538805618576e-06,32.5,0.0,20.0,0.001697571781343696,0.0,0.0010446347943166784,0.0027422065756603745,0.0,Germany,DEU,bavaria,Linux-5.15.167.4-microsoft-standard-WSL2-x86_64-with-glibc2.35,3.11.9,3.2.0,8,Intel(R) Core(TM) i7-9700 CPU @ 3.00GHz,,,10.9545,49.9282,31.25782012939453,machine,N,1.0,0.0,,</t>
  </si>
  <si>
    <t>2026-01-03T17:59:41,mlongt5-web,49215d96-81f4-455c-af8f-bb349dceaf20,5b0fa12a-3dd7-45bb-9766-cc326314d9f1,187.81197182199685,0.0010433092147232282,5.5550730052078295e-06,32.5,0.0,20.0,0.0016954061348972396,0.0,0.0010432976706500187,0.0027387038055472586,0.0,Germany,DEU,bavaria,Linux-5.15.167.4-microsoft-standard-WSL2-x86_64-with-glibc2.35,3.11.9,3.2.0,8,Intel(R) Core(TM) i7-9700 CPU @ 3.00GHz,1.0,1 x NVIDIA GeForce GTX 1050 Ti,10.9545,49.9282,31.25782012939453,machine,N,1.0,0.0,,</t>
  </si>
  <si>
    <t>2026-01-03T18:14:41,mlongt5-web,f06c1fb0-323d-4fd1-82fc-849c55d68d5a,5b0fa12a-3dd7-45bb-9766-cc326314d9f1,190.00270222600375,1.0908922841304758e-05,5.741456681141751e-08,32.5,0.0,20.0,0.0017151675608346266,0.0,0.0010554545363889096,0.002770622097223537,0.0,Canada,CAN,quebec,Linux-5.15.167.4-microsoft-standard-WSL2-x86_64-with-glibc2.35,3.11.9,3.2.0,8,Intel(R) Core(TM) i7-9700 CPU @ 3.00GHz,1.0,1 x NVIDIA GeForce GTX 1050 Ti,-71.2,46.8,31.25782012939453,machine,N,1.0,0.0,,</t>
  </si>
  <si>
    <t>2026-01-03T18:18:21,mlongt5-web,a6f9ceb1-aab3-4c74-a9df-2ce32b93b034,5b0fa12a-3dd7-45bb-9766-cc326314d9f1,188.71939895700052,0.0010483560792525738,5.555105013297761e-06,32.5,0.0,20.0,0.0017036058810152755,0.0,0.0010483460267221541,0.0027519519077374294,0.0,Germany,DEU,bavaria,Linux-5.15.167.4-microsoft-standard-WSL2-x86_64-with-glibc2.35,3.11.9,3.2.0,8,Intel(R) Core(TM) i7-9700 CPU @ 3.00GHz,1.0,1 x NVIDIA GeForce GTX 1050 Ti,10.9545,49.9282,31.25782012939453,machine,N,1.0,0.0,,</t>
  </si>
  <si>
    <t>2026-01-03T19:51:09,mistralnemo-email-school-web,fe6a2730-0840-4a23-9423-cc3e2b2586aa,5b0fa12a-3dd7-45bb-9766-cc326314d9f1,720.416013701004,0.0040021763823331995,5.555368434653137e-06,32.5,0.0,20.0,0.00650363380505796,0.0,0.0040021448596833376,0.010505778664741304,0.0,Germany,DEU,bavaria,,,Linux-5.15.167.4-microsoft-standard-WSL2-x86_64-with-glibc2.39,3.12.3,3.2.0,8,Intel(R) Core(TM) i7-9700 CPU @ 3.00GHz,,,10.9545,49.9282,31.25782012939453,machine,N,1.0,0.0</t>
  </si>
  <si>
    <t>2026-01-03T20:36:13,mistralnemo-email-school-web,251e459e-f659-49d4-b28b-8ac272ce9e4e,5b0fa12a-3dd7-45bb-9766-cc326314d9f1,725.2905958920019,0.004029208340509887,5.555302058693519e-06,32.5,0.0,20.0,0.006547600598112048,0.0,0.004029137400338893,0.010576737998450943,0.0,Germany,DEU,bavaria,Linux-5.15.167.4-microsoft-standard-WSL2-x86_64-with-glibc2.39,3.12.3,3.2.0,8,Intel(R) Core(TM) i7-9700 CPU @ 3.00GHz,10.9545,49.9282,31.25782012939453,machine,N,1.0,0.0,,</t>
  </si>
  <si>
    <t xml:space="preserve">2026-01-04T09:52:46,mistralnemo-email-school-web,abf663a5-5df7-47a8-891d-16d2580ca0f5,5b0fa12a-3dd7-45bb-9766-cc326314d9f1,728.542018194,0.004047282082428622,5.55531730683362e-06,32.5,0.0,20.0,0.006576940111417362,0.0,0.004047241756094444,0.010624181867511805,0.0,Germany,DEU,bavaria,Linux-5.15.167.4-microsoft-standard-WSL2-x86_64-with-glibc2.39,3.12.3,3.2.0,8,Intel(R) Core(TM) i7-9700 CPU @ 3.00GHz,10.9545,49.9282,31.25782012939453,machine,N,1.0,0.0,, </t>
  </si>
  <si>
    <t>2026-01-05T15:26:53,mistralnemo-email-school-web,9d536a92-71f6-4301-afef-9455bd165a1a,5b0fa12a-3dd7-45bb-9766-cc326314d9f1,204.59845627200013,0.0011365917242464776,5.555231182856307e-06,32.5,0.0,20.0,0.0018469859501437493,0.0,0.0011365859733277763,0.0029835719234715253,0.0,Germany,DEU,bavaria,,,Linux-5.15.167.4-microsoft-standard-WSL2-x86_64-with-glibc2.39,3.12.3,3.2.0,8,Intel(R) Core(TM) i7-9700 CPU @ 3.00GHz,1,1 x NVIDIA GeForce GTX 1050 Ti,10.9545,49.9282,31.25782012939453,machine,N,1.0,0.0</t>
  </si>
  <si>
    <t>2026-01-05T15:31:07,mistralnemo-email-school-web,7eef82d7-1d3a-4f6e-bc30-72976f031d1e,5b0fa12a-3dd7-45bb-9766-cc326314d9f1,200.36815045499998,0.0011130910611461167,5.555229504382246e-06,32.5,0.0,20.0,0.0018087977963340259,0.0,0.0011130845009388888,0.0029218822972729144,0.0,Germany,DEU,bavaria,Linux-5.15.167.4-microsoft-standard-WSL2-x86_64-with-glibc2.39,3.12.3,3.2.0,8,Intel(R) Core(TM) i7-9700 CPU @ 3.00GHz,1,1 x NVIDIA GeForce GTX 1050 Ti,10.9545,49.9282,31.25782012939453,machine,N,1.0,0.0,,</t>
  </si>
  <si>
    <t>2026-01-05T15:35:21,mistralnemo-email-school-web,d52a52e6-4e62-47e2-a887-5fe3141f4b3c,5b0fa12a-3dd7-45bb-9766-cc326314d9f1,166.90889891899997,0.0009272135172229488,5.555207201222511e-06,32.5,0.0,20.0,0.0015067436150631947,0.0,0.0009272070798388895,0.0024339506949020836,0.0,Germany,DEU,bavaria,Linux-5.15.167.4-microsoft-standard-WSL2-x86_64-with-glibc2.39,3.12.3,3.2.0,8,Intel(R) Core(TM) i7-9700 CPU @ 3.00GHz,1,1 x NVIDIA GeForce GTX 1050 Ti,10.9545,49.9282,31.25782012939453,machine,N,1.0,0.0,,</t>
  </si>
  <si>
    <t>2026-01-04T17:38:39,mistralnemo-news-papers,94810fc2-86f3-48f5-be0d-f90797d5671f,5b0fa12a-3dd7-45bb-9766-cc326314d9f1,372.2752108860004,0.002068118884870618,5.5553494414752355e-06,32.5,0.0,20.0,0.0033607476022340004,0.0,0.0020680984008388903,0.005428846003072891,0.0,Germany,DEU,bavaria,,,Linux-5.15.167.4-microsoft-standard-WSL2-x86_64-with-glibc2.39,3.12.3,3.2.0,8,Intel(R) Core(TM) i7-9700 CPU @ 3.00GHz,,,10.9545,49.9282,31.25782012939453,machine,N,1.0,0.0</t>
  </si>
  <si>
    <t>2026-01-04T18:04:56,mistralnemo-news-papers,51662251-0d3e-46f1-8ad4-f454e07cf4e2,5b0fa12a-3dd7-45bb-9766-cc326314d9f1,359.62770881100005,0.0019978693967290084,5.555382268330651e-06,32.5,0.0,20.0,0.003246585301329949,0.0,0.001997854642833348,0.005244439944163298,0.0,Germany,DEU,bavaria,Linux-5.15.167.4-microsoft-standard-WSL2-x86_64-with-glibc2.39,3.12.3,3.2.0,8,Intel(R) Core(TM) i7-9700 CPU @ 3.00GHz,10.9545,49.9282,31.25782012939453,machine,N,1.0,0.0,,</t>
  </si>
  <si>
    <t>2026-01-04T21:24:59,mistralnemo-news-papers,a25d5183-c3dd-46a6-850e-a46bd3fb774b,5b0fa12a-3dd7-45bb-9766-cc326314d9f1,375.148311869998,0.0020840852612616346,5.5553635597428545e-06,32.5,0.0,20.0,0.0033866909802104657,0.0,0.0020840670228388465,0.00547075800304931,0.0,Germany,DEU,bavaria,,,Linux-5.15.167.4-microsoft-standard-WSL2-x86_64-with-glibc2.39,3.12.3,3.2.0,8,Intel(R) Core(TM) i7-9700 CPU @ 3.00GHz,,,10.9545,49.9282,31.25782012939453,machine,N,1.0,0.0</t>
  </si>
  <si>
    <t>2026-01-06T19:20:07,mistralnemo-news-papers,5f83aa37-91eb-4795-99b3-629849b79741,5b0fa12a-3dd7-45bb-9766-cc326314d9f1,119.02166112300006,0.0006611836411690103,5.5551538680486575e-06,32.5,0.0,20.0,0.001074443687597226,0.0,0.0006611742180833364,0.0017356179056805625,0.0,Germany,DEU,bavaria,Linux-5.15.167.4-microsoft-standard-WSL2-x86_64-with-glibc2.39,3.12.3,3.2.0,8,Intel(R) Core(TM) i7-9700 CPU @ 3.00GHz,1,1 x NVIDIA GeForce GTX 1050 Ti,10.9545,49.9282,31.25782012939453,machine,N,1.0,0.0,,</t>
  </si>
  <si>
    <t>2026-01-06T19:22:56,mistralnemo-news-papers,fb576172-709d-4447-8cca-22b169ba1fd3,5b0fa12a-3dd7-45bb-9766-cc326314d9f1,140.95372743000007,0.000783029403906535,5.555223108912819e-06,32.5,0.0,20.0,0.0012724429266611074,0.0,0.0007830221052499964,0.0020554650319111038,0.0,Germany,DEU,bavaria,Linux-5.15.167.4-microsoft-standard-WSL2-x86_64-with-glibc2.39,3.12.3,3.2.0,8,Intel(R) Core(TM) i7-9700 CPU @ 3.00GHz,1,1 x NVIDIA GeForce GTX 1050 Ti,10.9545,49.9282,31.25782012939453,machine,N,1.0,0.0,,</t>
  </si>
  <si>
    <t>2026-01-06T19:25:35,mistralnemo-news-papers,918fb606-6149-450a-90ef-b529fd80a8af,5b0fa12a-3dd7-45bb-9766-cc326314d9f1,129.30252983699984,0.000718305344209041,5.555230397383132e-06,32.5,0.0,20.0,0.0011672632726805526,0.0,0.0007183000406388879,0.0018855633133194407,0.0,Germany,DEU,bavaria,Linux-5.15.167.4-microsoft-standard-WSL2-x86_64-with-glibc2.39,3.12.3,3.2.0,8,Intel(R) Core(TM) i7-9700 CPU @ 3.00GHz,1,1 x NVIDIA GeForce GTX 1050 Ti,10.9545,49.9282,31.25782012939453,machine,N,1.0,0.0,,</t>
  </si>
  <si>
    <t>2026-01-05T08:42:17,mistralnemo-news-papers,955708a3-cb2c-402b-9569-1e72b0e0ca91,5b0fa12a-3dd7-45bb-9766-cc326314d9f1,1829.942615231,0.010166019375920411,5.555376049121147e-06,32.5,0.0,20.0,0.016520033200161106,0.0,0.010165934448927777,0.026685967649088885,0.0,Germany,DEU,bavaria,Linux-5.15.167.4-microsoft-standard-WSL2-x86_64-with-glibc2.39,3.12.3,3.2.0,8,Intel(R) Core(TM) i7-9700 CPU @ 3.00GHz,10.9545,49.9282,31.257816314697266,machine,N,1.0,0.0,,</t>
  </si>
  <si>
    <t>2026-01-05T09:15:23,mistralnemo-news-papers,41c1ecd5-020a-49b2-87d8-a9038c97195f,5b0fa12a-3dd7-45bb-9766-cc326314d9f1,1878.5530713880003,0.010436074762585392,5.555379255202263e-06,32.5,0.0,20.0,0.016958868292708335,0.0,0.010435999176999992,0.027394867469708338,0.0,Germany,DEU,bavaria,,,Linux-5.15.167.4-microsoft-standard-WSL2-x86_64-with-glibc2.39,3.12.3,3.2.0,8,Intel(R) Core(TM) i7-9700 CPU @ 3.00GHz,,,10.9545,49.9282,31.257816314697266,machine,N,1.0,0.0</t>
  </si>
  <si>
    <t>2026-01-05T09:47:44,mistralnemo-news-papers,74a08e87-cc75-42d2-a8cb-2761cb2af2eb,5b0fa12a-3dd7-45bb-9766-cc326314d9f1,1908.8206090159993,0.010604173325581077,5.555353538983189e-06,32.5,0.0,20.0,0.017232050329261818,0.0,0.010604078626194469,0.0278361289554563,0.0,Germany,DEU,bavaria,Linux-5.15.167.4-microsoft-standard-WSL2-x86_64-with-glibc2.39,3.12.3,3.2.0,8,Intel(R) Core(TM) i7-9700 CPU @ 3.00GHz,10.9545,49.9282,31.257816314697266,machine,N,1.0,0.0,,</t>
  </si>
  <si>
    <t>2026-01-06T19:32:06,mistralnemo-news-papers,71959f20-54a9-4c58-a721-36f81f28ab0f,5b0fa12a-3dd7-45bb-9766-cc326314d9f1,352.4588734490003,0.001957983427359106,5.555211046892312e-06,32.5,0.0,20.0,0.0031817684300729223,0.0,0.0019579701901111073,0.005139738620184029,0.0,Germany,DEU,bavaria,Linux-5.15.167.4-microsoft-standard-WSL2-x86_64-with-glibc2.39,3.12.3,3.2.0,8,Intel(R) Core(TM) i7-9700 CPU @ 3.00GHz,1,1 x NVIDIA GeForce GTX 1050 Ti,10.9545,49.9282,31.25782012939453,machine,N,1.0,0.0,,</t>
  </si>
  <si>
    <t>2026-01-06T19:50:25,mistralnemo-news-papers,42c23e22-23a6-4c79-9ddf-37b6576658d1,5b0fa12a-3dd7-45bb-9766-cc326314d9f1,419.70173985600013,0.0023315426436925323,5.555237022587721e-06,32.5,0.0,20.0,0.003788811461075693,0.0,0.0023315262307277785,0.00612033769180347,0.0,Germany,DEU,bavaria,Linux-5.15.167.4-microsoft-standard-WSL2-x86_64-with-glibc2.39,3.12.3,3.2.0,8,Intel(R) Core(TM) i7-9700 CPU @ 3.00GHz,1,1 x NVIDIA GeForce GTX 1050 Ti,10.9545,49.9282,31.25782012939453,machine,N,1.0,0.0,,</t>
  </si>
  <si>
    <t>2026-01-06T20:02:20,mistralnemo-news-papers,c7e7c73c-2bb6-410a-8561-eb02e5db8ca8,5b0fa12a-3dd7-45bb-9766-cc326314d9f1,372.3440198600001,0.0020684515459274562,5.555216239823553e-06,32.5,0.0,20.0,0.00336128088756595,0.0,0.0020684383562388953,0.0054297192438048465,0.0,Germany,DEU,bavaria,Linux-5.15.167.4-microsoft-standard-WSL2-x86_64-with-glibc2.39,3.12.3,3.2.0,8,Intel(R) Core(TM) i7-9700 CPU @ 3.00GHz,1,1 x NVIDIA GeForce GTX 1050 Ti,10.9545,49.9282,31.25782012939453,machine,N,1.0,0.0,,</t>
  </si>
  <si>
    <t>2026-01-04T10:30:41,mistralnemo-email-school-web,e0d4c818-a6a2-4277-9834-b2f56473f4e9,5b0fa12a-3dd7-45bb-9766-cc326314d9f1,1912.6832240829997,0.01062567773525967,5.555377702627131e-06,32.5,0.0,20.0,0.01726698805147153,0.0,0.010625590332200006,0.02789257838367153,0.0,Germany,DEU,bavaria,,,Linux-5.15.167.4-microsoft-standard-WSL2-x86_64-with-glibc2.39,3.12.3,3.2.0,8,Intel(R) Core(TM) i7-9700 CPU @ 3.00GHz,,,10.9545,49.9282,31.25782012939453,machine,N,1.0,0.0</t>
  </si>
  <si>
    <t>2026-01-04T11:43:39,mistralnemo-email-school-web,1082cc2e-167c-42e8-8ff1-21932355ee2d,5b0fa12a-3dd7-45bb-9766-cc326314d9f1,1787.1986736019999,0.009928607062408711,5.555401986953221e-06,32.5,0.0,20.0,0.016134219181789512,0.0,0.009928537249261078,0.02606275643105056,0.0,Germany,DEU,bavaria,Linux-5.15.167.4-microsoft-standard-WSL2-x86_64-with-glibc2.39,3.12.3,3.2.0,8,Intel(R) Core(TM) i7-9700 CPU @ 3.00GHz,10.9545,49.9282,31.25782012939453,machine,N,1.0,0.0,,</t>
  </si>
  <si>
    <t>2026-01-04T12:27:31,mistralnemo-email-school-web,091abe7e-57fd-4b61-90bb-55d12f744841,5b0fa12a-3dd7-45bb-9766-cc326314d9f1,1828.1281274249995,0.010155979243827787,5.555397945839244e-06,32.5,0.0,20.0,0.01650371378205708,0.0,0.010155898355566705,0.0266596121376238,0.0,Germany,DEU,bavaria,,,Linux-5.15.167.4-microsoft-standard-WSL2-x86_64-with-glibc2.39,3.12.3,3.2.0,8,Intel(R) Core(TM) i7-9700 CPU @ 3.00GHz,,,10.9545,49.9282,31.25782012939453,machine,N,1.0,0.0</t>
  </si>
  <si>
    <t>2026-01-05T16:02:20,mistralnemo-email-school-web,8fe1bc9d-dde1-4c9f-9c47-388ee30c64b4,5b0fa12a-3dd7-45bb-9766-cc326314d9f1,905.9157767319998,0.005032582064774505,5.5552427654246614e-06,32.5,0.0,20.0,0.00817806507438195,0.0,0.00503254541196667,0.013210610486348615,0.0,Germany,DEU,bavaria,Linux-5.15.167.4-microsoft-standard-WSL2-x86_64-with-glibc2.39,3.12.3,3.2.0,8,Intel(R) Core(TM) i7-9700 CPU @ 3.00GHz,1,1 x NVIDIA GeForce GTX 1050 Ti,10.9545,49.9282,31.25782012939453,machine,N,1.0,0.0,,</t>
  </si>
  <si>
    <t>2026-01-05T16:33:46,mistralnemo-email-school-web,b8ad23e9-4460-4f9c-81d7-7007a317c15b,5b0fa12a-3dd7-45bb-9766-cc326314d9f1,881.2643321539999,0.004895633513305637,5.5552384621531806e-06,32.5,0.0,20.0,0.00795551699641109,0.0,0.004895601295505534,0.012851118291916621,0.0,Germany,DEU,bavaria,Linux-5.15.167.4-microsoft-standard-WSL2-x86_64-with-glibc2.39,3.12.3,3.2.0,8,Intel(R) Core(TM) i7-9700 CPU @ 3.00GHz,1,1 x NVIDIA GeForce GTX 1050 Ti,10.9545,49.9282,31.25782012939453,machine,N,1.0,0.0,,</t>
  </si>
  <si>
    <t>2026-01-05T16:55:17,mistralnemo-email-school-web,cd4ecb5f-2344-486d-900b-99fa2c6f094e,5b0fa12a-3dd7-45bb-9766-cc326314d9f1,937.1891377700003,0.0052062929580053464,5.555221190883078e-06,32.5,0.0,20.0,0.008460349534975042,0.0,0.005206254896066688,0.013666604431041727,0.0,Germany,DEU,bavaria,Linux-5.15.167.4-microsoft-standard-WSL2-x86_64-with-glibc2.39,3.12.3,3.2.0,8,Intel(R) Core(TM) i7-9700 CPU @ 3.00GHz,1,1 x NVIDIA GeForce GTX 1050 Ti,10.9545,49.9282,31.25782012939453,machine,N,1.0,0.0,,</t>
  </si>
  <si>
    <t>2026-01-04T13:57:36,mistralnemo-email-school-web,242e839a-a33a-4da4-adf4-87558e28920d,5b0fa12a-3dd7-45bb-9766-cc326314d9f1,1188.106082104001,0.00660033420184417,5.5553408077465e-06,32.5,0.0,20.0,0.01072571704740071,0.0,0.0066002685198500236,0.01732598556725074,0.0,Germany,DEU,bavaria,Linux-5.15.167.4-microsoft-standard-WSL2-x86_64-with-glibc2.39,3.12.3,3.2.0,8,Intel(R) Core(TM) i7-9700 CPU @ 3.00GHz,10.9545,49.9282,31.25782012939453,machine,N,1.0,0.0,,</t>
  </si>
  <si>
    <t>2026-01-04T14:19:22,mistralnemo-email-school-web,b75525ec-2c53-4c3b-9118-75ed754e233f,5b0fa12a-3dd7-45bb-9766-cc326314d9f1,1237.4860998959994,0.0068747128101506,5.555385883306781e-06,32.5,0.0,20.0,0.011171577027424112,0.0,0.0068746568881831805,0.018046233915607297,0.0,Germany,DEU,bavaria,,,Linux-5.15.167.4-microsoft-standard-WSL2-x86_64-with-glibc2.39,3.12.3,3.2.0,8,Intel(R) Core(TM) i7-9700 CPU @ 3.00GHz,,,10.9545,49.9282,31.25782012939453,machine,N,1.0,0.0</t>
  </si>
  <si>
    <t>2026-01-04T17:30:31,mistralnemo-email-school-web,b548468e-b8d1-473d-8308-2dbcddc6d586,5b0fa12a-3dd7-45bb-9766-cc326314d9f1,1221.6983492159998,0.0067869837113744,5.555367833417971e-06,32.5,0.0,20.0,0.011029011639388731,0.0,0.0067869319526165164,0.01781594359200525,0.0,Germany,DEU,bavaria,Linux-5.15.167.4-microsoft-standard-WSL2-x86_64-with-glibc2.39,3.12.3,3.2.0,8,Intel(R) Core(TM) i7-9700 CPU @ 3.00GHz,10.9545,49.9282,31.25782012939453,machine,N,1.0,0.0,,</t>
  </si>
  <si>
    <t>2026-01-06T18:58:03,mistralnemo-email-school-web,a5d2a57e-95b9-465d-b2b8-d7e1641ce568,5b0fa12a-3dd7-45bb-9766-cc326314d9f1,433.77141149600004,0.0024097053318060126,5.555242387909728e-06,32.5,0.0,20.0,0.0039158268623770845,0.0,0.0024096891680888896,0.006325516030465973,0.0,Germany,DEU,bavaria,Linux-5.15.167.4-microsoft-standard-WSL2-x86_64-with-glibc2.39,3.12.3,3.2.0,8,Intel(R) Core(TM) i7-9700 CPU @ 3.00GHz,1,1 x NVIDIA GeForce GTX 1050 Ti,10.9545,49.9282,31.25782012939453,machine,N,1.0,0.0,,</t>
  </si>
  <si>
    <t>2026-01-06T19:07:31,mistralnemo-email-school-web,65562514-db74-4e9a-952d-6b938e485f2b,5b0fa12a-3dd7-45bb-9766-cc326314d9f1,533.3835721979999,0.0029630862513226985,5.555263427240981e-06,32.5,0.0,20.0,0.004815082762659724,0.0,0.002963067260500003,0.007778150023159728,0.0,Germany,DEU,bavaria,Linux-5.15.167.4-microsoft-standard-WSL2-x86_64-with-glibc2.39,3.12.3,3.2.0,8,Intel(R) Core(TM) i7-9700 CPU @ 3.00GHz,1,1 x NVIDIA GeForce GTX 1050 Ti,10.9545,49.9282,31.25782012939453,machine,N,1.0,0.0,,</t>
  </si>
  <si>
    <t>2026-01-06T19:17:17,mistralnemo-email-school-web,51d2cbe9-96ea-4839-918e-30dcd75e4e61,5b0fa12a-3dd7-45bb-9766-cc326314d9f1,473.180794439,0.002628606937019571,5.555185180615856e-06,32.5,0.0,20.0,0.00427155206570625,0.0,0.0026285842698222203,0.00690013633552847,0.0,Germany,DEU,bavaria,Linux-5.15.167.4-microsoft-standard-WSL2-x86_64-with-glibc2.39,3.12.3,3.2.0,8,Intel(R) Core(TM) i7-9700 CPU @ 3.00GHz,1,1 x NVIDIA GeForce GTX 1050 Ti,10.9545,49.9282,31.25782012939453,machine,N,1.0,0.0,,</t>
  </si>
  <si>
    <t>2025-12-29T15:54:29,ts1,c3ecfd10-8d1a-40ff-8c14-b56096ffcac4,5b0fa12a-3dd7-45bb-9766-cc326314d9f1,581.409326326997,0.003229951173506293,5.555382459912073e-06,32.5,0.0,20.0,0.005248754480982733,0.0,0.0032299203411889224,0.008478674822171657,0.0,Germany,DEU,bavaria,Linux-5.15.167.4-microsoft-standard-WSL2-x86_64-with-glibc2.41,3.9.25,3.2.0,8,Intel(R) Core(TM) i7-9700 CPU @ 3.00GHz,,,10.9545,49.9282,31.25782012939453,machine,N,1.0,0.0,,</t>
  </si>
  <si>
    <t>2025-12-29T16:11:35,ts1,c7bb36b2-e0ce-408f-b5b4-78a8e683b102,5b0fa12a-3dd7-45bb-9766-cc326314d9f1,586.004623883,0.0032554723074720063,5.555369658861232e-06,32.5,0.0,20.0,0.005290227100545941,0.0,0.003255441116994432,0.008545668217540376,0.0,Germany,DEU,bavaria,Linux-5.15.167.4-microsoft-standard-WSL2-x86_64-with-glibc2.41,3.9.25,3.2.0,8,Intel(R) Core(TM) i7-9700 CPU @ 3.00GHz,,,10.9545,49.9282,31.25782012939453,machine,N,1.0,0.0,,</t>
  </si>
  <si>
    <t>2025-12-29T16:22:20,ts1,5f34e5ce-2aaf-41d9-831e-1f5a6ea1144f,5b0fa12a-3dd7-45bb-9766-cc326314d9f1,580.5084124429995,0.0032249394794234085,5.555370792736044e-06,32.5,0.0,20.0,0.005240610223224954,0.0,0.0032249088197555055,0.008465519042980466,0.0,Germany,DEU,bavaria,Linux-5.15.167.4-microsoft-standard-WSL2-x86_64-with-glibc2.41,3.9.25,3.2.0,8,Intel(R) Core(TM) i7-9700 CPU @ 3.00GHz,,,10.9545,49.9282,31.25782012939453,machine,N,1.0,0.0,,</t>
  </si>
  <si>
    <t>2025-12-30T12:31:51,ts1,3307cd32-4879-48ff-b48d-585433800aac,5b0fa12a-3dd7-45bb-9766-cc326314d9f1,1103.6323291869999,0.0061304942040434395,5.554833835430972e-06,32.5,0.0,20.0,0.00996274657580764,0.0,0.006129901288855554,0.016092647864663183,0.0,Germany,DEU,bavaria,Linux-5.15.167.4-microsoft-standard-WSL2-x86_64-with-glibc2.41,3.9.25,3.2.0,8,Intel(R) Core(TM) i7-9700 CPU @ 3.00GHz,,,10.9545,49.9282,31.25782012939453,machine,N,1.0,0.0,,</t>
  </si>
  <si>
    <t>2025-12-30T13:03:14,ts1,c5c57000-226c-4dff-aa96-39869dbecc4d,5b0fa12a-3dd7-45bb-9766-cc326314d9f1,1092.0259766590002,0.006066455966205038,5.5552304577635244e-06,32.5,0.0,20.0,0.009858274732881237,0.0,0.006066271706822227,0.015924546439703473,0.0,Germany,DEU,bavaria,Linux-5.15.167.4-microsoft-standard-WSL2-x86_64-with-glibc2.41,3.9.25,3.2.0,8,Intel(R) Core(TM) i7-9700 CPU @ 3.00GHz,,,10.9545,49.9282,31.25782012939453,machine,N,1.0,0.0,,</t>
  </si>
  <si>
    <t>2025-12-30T13:31:13,ts1,b16ff357-ea45-4959-b7e6-a57232be8cc4,5b0fa12a-3dd7-45bb-9766-cc326314d9f1,1106.6269670289994,0.006147579874479272,5.5552413393502396e-06,32.5,0.0,20.0,0.009990020730643008,0.0,0.006147477299227769,0.016137498029870776,0.0,Germany,DEU,bavaria,Linux-5.15.167.4-microsoft-standard-WSL2-x86_64-with-glibc2.41,3.9.25,3.2.0,8,Intel(R) Core(TM) i7-9700 CPU @ 3.00GHz,,,10.9545,49.9282,31.25782012939453,machine,N,1.0,0.0,,</t>
  </si>
  <si>
    <t>2025-12-30T14:45:35,ts1,646d1da3-0b32-4397-951e-e8e9667ca5bd,5b0fa12a-3dd7-45bb-9766-cc326314d9f1,614.8513642530015,0.0034136855197982657,5.5520500047123395e-06,32.5,0.0,20.0,0.005548311295276334,0.0,0.0034126692003222164,0.008960980495598545,0.0,Germany,DEU,bavaria,Linux-5.15.167.4-microsoft-standard-WSL2-x86_64-with-glibc2.41,3.9.25,3.2.0,8,Intel(R) Core(TM) i7-9700 CPU @ 3.00GHz,,,10.9545,49.9282,31.25782012939453,machine,N,1.0,0.0,,</t>
  </si>
  <si>
    <t>2025-12-30T15:10:14,ts1,a3264bba-23b2-4641-b6c7-c91b1827a4ff,5b0fa12a-3dd7-45bb-9766-cc326314d9f1,612.9501049489991,0.00340237750604445,5.550822943945082e-06,32.5,0.0,20.0,0.005529845128193713,0.0,0.0034014516457778064,0.008931296773971519,0.0,Germany,DEU,bavaria,Linux-5.15.167.4-microsoft-standard-WSL2-x86_64-with-glibc2.41,3.9.25,3.2.0,8,Intel(R) Core(TM) i7-9700 CPU @ 3.00GHz,,,10.9545,49.9282,31.25782012939453,machine,N,1.0,0.0,,</t>
  </si>
  <si>
    <t>2025-12-30T15:34:01,ts1,e1e4e0fc-70b9-47ba-8d1e-d1d49186347c,5b0fa12a-3dd7-45bb-9766-cc326314d9f1,617.669004161,0.003428244596586294,5.550294046635852e-06,32.5,0.0,20.0,0.005571939783772869,0.0,0.0034272585272555976,0.008999198311028465,0.0,Germany,DEU,bavaria,Linux-5.15.167.4-microsoft-standard-WSL2-x86_64-with-glibc2.41,3.9.25,3.2.0,8,Intel(R) Core(TM) i7-9700 CPU @ 3.00GHz,,,10.9545,49.9282,31.25782012939453,machine,N,1.0,0.0,,</t>
  </si>
  <si>
    <t>2025-12-30T16:04:28,ts1,234e69e2-0227-4c8d-9733-32f1cee3dc54,5b0fa12a-3dd7-45bb-9766-cc326314d9f1,599.0969300569996,0.0033281744149360154,5.555318760554097e-06,32.5,0.0,20.0,0.005408373801187568,0.0,0.003328138641222237,0.008736512442409805,0.0,Germany,DEU,bavaria,Linux-5.15.167.4-microsoft-standard-WSL2-x86_64-with-glibc2.41,3.9.25,3.2.0,8,Intel(R) Core(TM) i7-9700 CPU @ 3.00GHz,,,10.9545,49.9282,31.25782012939453,machine,N,1.0,0.0,,</t>
  </si>
  <si>
    <t>2025-12-30T16:15:11,ts1,b83fb4ed-6799-47a4-bbb6-579caa682e98,5b0fa12a-3dd7-45bb-9766-cc326314d9f1,605.8998681770008,0.0033659932417163052,5.555362228157807e-06,32.5,0.0,20.0,0.005469827658343721,0.0,0.0033659598248333474,0.00883578748317707,0.0,Germany,DEU,bavaria,Linux-5.15.167.4-microsoft-standard-WSL2-x86_64-with-glibc2.41,3.9.25,3.2.0,8,Intel(R) Core(TM) i7-9700 CPU @ 3.00GHz,,,10.9545,49.9282,31.25782012939453,machine,N,1.0,0.0,,</t>
  </si>
  <si>
    <t>2025-12-30T16:26:40,ts1,c9bcca8b-9a2d-418d-8285-9ebfc187943a,5b0fa12a-3dd7-45bb-9766-cc326314d9f1,598.9953056960003,0.003327637183550851,5.55536437749594e-06,32.5,0.0,20.0,0.005407492471893057,0.0,0.0033276097293166856,0.008735102201209741,0.0,Germany,DEU,bavaria,Linux-5.15.167.4-microsoft-standard-WSL2-x86_64-with-glibc2.41,3.9.25,3.2.0,8,Intel(R) Core(TM) i7-9700 CPU @ 3.00GHz,,,10.9545,49.9282,31.25782012939453,machine,N,1.0,0.0,,</t>
  </si>
  <si>
    <t>Processing took: 383.650433181 
[codecarbon INFO @ 07:03:59] Energy consumed for RAM : 0.002130 kWh. RAM Power : 20.0 W 
[codecarbon INFO @ 07:03:59] Delta energy consumed for CPU with constant : 0.000077 kWh, power : 32.5 W 
[codecarbon INFO @ 07:03:59] Energy consumed for All CPU : 0.003463 kWh 
[codecarbon INFO @ 07:03:59] 0.005592 kWh of electricity and 0.000000 L of water were used since the beginning.</t>
  </si>
  <si>
    <t xml:space="preserve">Processing took: 377.636583535 
[codecarbon INFO @ 07:12:51] Energy consumed for RAM : 0.002097 kWh. RAM Power : 20.0 W 
[codecarbon INFO @ 07:12:51] Delta energy consumed for CPU with constant : 0.000022 kWh, power : 32.5 W 
[codecarbon INFO @ 07:12:51] Energy consumed for All CPU : 0.003409 kWh 
[codecarbon INFO @ 07:12:51] 0.005505 kWh of electricity and 0.000000 L of water were used since the beginning. </t>
  </si>
  <si>
    <t xml:space="preserve">Processing took: 373.9220190410001 
[codecarbon INFO @ 07:19:29] Energy consumed for RAM : 0.002076 kWh. RAM Power : 20.0 W 
[codecarbon INFO @ 07:19:29] Delta energy consumed for CPU with constant : 0.000123 kWh, power : 32.5 W 
[codecarbon INFO @ 07:19:29] Energy consumed for All CPU : 0.003375 kWh 
[codecarbon INFO @ 07:19:29] 0.005450 kWh of electricity and 0.000000 L of water were used since the beginning. </t>
  </si>
  <si>
    <t xml:space="preserve">Processing took: 188.50051623399986 
[codecarbon INFO @ 07:23:08] Energy consumed for RAM : 0.001046 kWh. RAM Power : 20.0 W 
[codecarbon INFO @ 07:23:08] Delta energy consumed for CPU with constant : 0.000075 kWh, power : 32.5 W 
[codecarbon INFO @ 07:23:08] Energy consumed for All CPU : 0.001701 kWh 
[codecarbon INFO @ 07:23:08] 0.002748 kWh of electricity and 0.000000 L of water were used since the beginning. </t>
  </si>
  <si>
    <t xml:space="preserve">Processing took: 186.55857689000004 
[codecarbon INFO @ 07:35:26] Energy consumed for RAM : 0.001036 kWh. RAM Power : 20.0 W 
[codecarbon INFO @ 07:35:26] Delta energy consumed for CPU with constant : 0.000058 kWh, power : 32.5 W 
[codecarbon INFO @ 07:35:26] Energy consumed for All CPU : 0.001684 kWh 
[codecarbon INFO @ 07:35:26] 0.002720 kWh of electricity and 0.000000 L of water were used since the beginning. </t>
  </si>
  <si>
    <t xml:space="preserve">Processing took: 188.25841747200002 
[codecarbon INFO @ 07:42:01] Energy consumed for RAM : 0.001045 kWh. RAM Power : 20.0 W 
[codecarbon INFO @ 07:42:01] Delta energy consumed for CPU with constant : 0.000072 kWh, power : 32.5 W 
[codecarbon INFO @ 07:42:01] Energy consumed for All CPU : 0.001699 kWh 
[codecarbon INFO @ 07:42:01] 0.002745 kWh of electricity and 0.000000 L of water were used since the beginning. </t>
  </si>
  <si>
    <t xml:space="preserve">Processing took: 23626.924858050003 
[codecarbon INFO @ 14:52:09] Energy consumed for RAM : 0.131253 kWh. RAM Power : 20.0 W 
[codecarbon INFO @ 14:52:09] Delta energy consumed for CPU with constant : 0.000009 kWh, power : 32.5 W 
[codecarbon INFO @ 14:52:09] Energy consumed for All CPU : 0.213293 kWh 
[codecarbon INFO @ 14:52:09] 0.344546 kWh of electricity and 0.000000 L of water were used since the beginning. </t>
  </si>
  <si>
    <t xml:space="preserve">Processing took: 23910.924934594997 
[codecarbon INFO @ 21:33:41] Energy consumed for RAM : 0.132830 kWh. RAM Power : 20.0 W 
[codecarbon INFO @ 21:33:41] Delta energy consumed for CPU with constant : 0.000135 kWh, power : 32.5 W 
[codecarbon INFO @ 21:33:41] Energy consumed for All CPU : 0.215857 kWh 
[codecarbon INFO @ 21:33:41] 0.348687 kWh of electricity and 0.000000 L of water were used since the beginning. </t>
  </si>
  <si>
    <t xml:space="preserve">Processing took: 23874.543839583 
[codecarbon INFO @ 04:48:42] Energy consumed for RAM : 0.132628 kWh. RAM Power : 20.0 W 
[codecarbon INFO @ 04:48:42] Delta energy consumed for CPU with constant : 0.000077 kWh, power : 32.5 W 
[codecarbon INFO @ 04:48:42] Energy consumed for All CPU : 0.215528 kWh 
[codecarbon INFO @ 04:48:42] 0.348157 kWh of electricity and 0.000000 L of water were used since the beginning. </t>
  </si>
  <si>
    <t xml:space="preserve">Processing took: 1577.940179385998 
[codecarbon INFO @ 23:31:32] Energy consumed for RAM : 0.008766 kWh. RAM Power : 20.0 W 
[codecarbon INFO @ 23:31:32] Delta energy consumed for CPU with constant : 0.000014 kWh, power : 32.5 W 
[codecarbon INFO @ 23:31:32] Energy consumed for All CPU : 0.014245 kWh 
[codecarbon INFO @ 23:31:32] 0.023011 kWh of electricity and 0.000000 L of water were used since the beginning. </t>
  </si>
  <si>
    <t xml:space="preserve">Processing took: 1612.7485145960002 
[codecarbon INFO @ 09:01:24] Energy consumed for RAM : 0.008959 kWh. RAM Power : 20.0 W 
[codecarbon INFO @ 09:01:24] Delta energy consumed for CPU with constant : 0.000057 kWh, power : 32.5 W 
[codecarbon INFO @ 09:01:24] Energy consumed for All CPU : 0.014559 kWh 
[codecarbon INFO @ 09:01:24] 0.023519 kWh of electricity and 0.000000 L of water were used since the beginning. </t>
  </si>
  <si>
    <t xml:space="preserve">Processing took: 1590.2636239029998 
[codecarbon INFO @ 09:41:20] Energy consumed for RAM : 0.008835 kWh. RAM Power : 20.0 W 
[codecarbon INFO @ 09:41:20] Delta energy consumed for CPU with constant : 0.000125 kWh, power : 32.5 W 
[codecarbon INFO @ 09:41:20] Energy consumed for All CPU : 0.014357 kWh 
[codecarbon INFO @ 09:41:20] 0.023191 kWh of electricity and 0.000000 L of water were used since the beginning. </t>
  </si>
  <si>
    <t xml:space="preserve">Processing took: 1822.4114034079994 
[codecarbon INFO @ 12:40:26] Energy consumed for RAM : 0.010124 kWh. RAM Power : 20.0 W 
[codecarbon INFO @ 12:40:26] Delta energy consumed for CPU with constant : 0.000054 kWh, power : 32.5 W 
[codecarbon INFO @ 12:40:26] Energy consumed for All CPU : 0.016452 kWh 
[codecarbon INFO @ 12:40:26] 0.026576 kWh of electricity and 0.000000 L of water were used since the beginning. </t>
  </si>
  <si>
    <t xml:space="preserve">Processing took: 1797.404261235999 
[codecarbon INFO @ 13:11:49] Energy consumed for RAM : 0.009985 kWh. RAM Power : 20.0 W 
[codecarbon INFO @ 13:11:49] Delta energy consumed for CPU with constant : 0.000098 kWh, power : 32.5 W 
[codecarbon INFO @ 13:11:49] Energy consumed for All CPU : 0.016226 kWh 
[codecarbon INFO @ 13:11:49] 0.026212 kWh of electricity and 0.000000 L of water were used since the beginning. </t>
  </si>
  <si>
    <t xml:space="preserve">Processing took: 1785.758535451001 
[codecarbon INFO @ 13:48:08] Energy consumed for RAM : 0.009921 kWh. RAM Power : 20.0 W 
[codecarbon INFO @ 13:48:08] Delta energy consumed for CPU with constant : 0.000130 kWh, power : 32.5 W 
[codecarbon INFO @ 13:48:08] Energy consumed for All CPU : 0.016121 kWh 
[codecarbon INFO @ 13:48:08] 0.026042 kWh of electricity and 0.000000 L of water were used since the beginning. </t>
  </si>
  <si>
    <t xml:space="preserve">Processing took: 55.33674013500058 
[codecarbon INFO @ 14:27:28] Energy consumed for RAM : 0.000307 kWh. RAM Power : 20.0 W 
[codecarbon INFO @ 14:27:28] Delta energy consumed for CPU with constant : 0.000093 kWh, power : 32.5 W 
[codecarbon INFO @ 14:27:28] Energy consumed for All CPU : 0.000499 kWh 
[codecarbon INFO @ 14:27:28] 0.000807 kWh of electricity and 0.000000 L of water were used since the beginning. </t>
  </si>
  <si>
    <t xml:space="preserve">Processing took: 54.691813016001106 
[codecarbon INFO @ 14:31:33] Energy consumed for RAM : 0.000304 kWh. RAM Power : 20.0 W 
[codecarbon INFO @ 14:31:33] Delta energy consumed for CPU with constant : 0.000087 kWh, power : 32.5 W 
[codecarbon INFO @ 14:31:33] Energy consumed for All CPU : 0.000494 kWh 
[codecarbon INFO @ 14:31:33] 0.000797 kWh of electricity and 0.000000 L of water were used since the beginning. </t>
  </si>
  <si>
    <t xml:space="preserve">Processing took: 54.73162969800251 
[codecarbon INFO @ 14:35:24] Energy consumed for RAM : 0.000304 kWh. RAM Power : 20.0 W 
[codecarbon INFO @ 14:35:24] Delta energy consumed for CPU with constant : 0.000088 kWh, power : 32.5 W 
[codecarbon INFO @ 14:35:24] Energy consumed for All CPU : 0.000494 kWh 
[codecarbon INFO @ 14:35:24] 0.000798 kWh of electricity and 0.000000 L of water were used since the beginning. </t>
  </si>
  <si>
    <t xml:space="preserve">Processing took: 52.79547644899867 
[codecarbon INFO @ 14:39:05] Energy consumed for RAM : 0.000293 kWh. RAM Power : 20.0 W 
[codecarbon INFO @ 14:39:05] Delta energy consumed for CPU with constant : 0.000070 kWh, power : 32.5 W 
[codecarbon INFO @ 14:39:05] Energy consumed for All CPU : 0.000477 kWh 
[codecarbon INFO @ 14:39:05] 0.000770 kWh of electricity and 0.000000 L of water were used since the beginning. </t>
  </si>
  <si>
    <t xml:space="preserve">Processing took: 53.6533893550004  
[codecarbon INFO @ 14:41:56] Energy consumed for RAM : 0.000298 kWh. RAM Power : 20.0 W 
[codecarbon INFO @ 14:41:56] Delta energy consumed for CPU with constant : 0.000078 kWh, power : 32.5 W 
[codecarbon INFO @ 14:41:56] Energy consumed for All CPU : 0.000484 kWh 
[codecarbon INFO @ 14:41:56] 0.000781 kWh of electricity and 0.000000 L of water were used since the beginning. </t>
  </si>
  <si>
    <t xml:space="preserve">Processing took: 55.32708892500159 
[codecarbon INFO @ 14:44:36] Energy consumed for RAM : 0.000307 kWh. RAM Power : 20.0 W 
[codecarbon INFO @ 14:44:36] Delta energy consumed for CPU with constant : 0.000093 kWh, power : 32.5 W 
[codecarbon INFO @ 14:44:36] Energy consumed for All CPU : 0.000499 kWh 
[codecarbon INFO @ 14:44:36] 0.000806 kWh of electricity and 0.000000 L of water were used since the beginning. </t>
  </si>
  <si>
    <t xml:space="preserve">Processing took: 581.3701730370012  
[codecarbon INFO @ 15:54:29] Energy consumed for RAM : 0.003230 kWh. RAM Power : 20.0 W 
[codecarbon INFO @ 15:54:29] Delta energy consumed for CPU with constant : 0.000099 kWh, power : 32.5 W 
[codecarbon INFO @ 15:54:29] Energy consumed for All CPU : 0.005249 kWh 
[codecarbon INFO @ 15:54:29] 0.008479 kWh of electricity and 0.000000 L of water were used since the beginning. </t>
  </si>
  <si>
    <t xml:space="preserve">Processing took: 585.9654797609983 
[codecarbon INFO @ 16:11:35] Energy consumed for RAM : 0.003255 kWh. RAM Power : 20.0 W 
[codecarbon INFO @ 16:11:35] Delta energy consumed for CPU with constant : 0.000006 kWh, power : 32.5 W 
[codecarbon INFO @ 16:11:35] Energy consumed for All CPU : 0.005290 kWh 
[codecarbon INFO @ 16:11:35] 0.008546 kWh of electricity and 0.000000 L of water were used since the beginning. </t>
  </si>
  <si>
    <t xml:space="preserve">Processing took: 580.4667279570021 
[codecarbon INFO @ 16:22:20] Energy consumed for RAM : 0.003225 kWh. RAM Power : 20.0 W 
[codecarbon INFO @ 16:22:20] Delta energy consumed for CPU with constant : 0.000091 kWh, power : 32.5 W 
[codecarbon INFO @ 16:22:20] Energy consumed for All CPU : 0.005241 kWh 
[codecarbon INFO @ 16:22:20] 0.008466 kWh of electricity and 0.000000 L of water were used since the beginning. </t>
  </si>
  <si>
    <t xml:space="preserve">Processing took: 1103.586969116 
[codecarbon INFO @ 12:31:51] Energy consumed for RAM : 0.006130 kWh. RAM Power : 20.0 W 
[codecarbon INFO @ 12:31:51] Delta energy consumed for CPU with constant : 0.000070 kWh, power : 32.5 W 
[codecarbon INFO @ 12:31:51] Energy consumed for All CPU : 0.009963 kWh 
[codecarbon INFO @ 12:31:51] 0.016093 kWh of electricity and 0.000000 L of water were used since the beginning. </t>
  </si>
  <si>
    <t xml:space="preserve">Processing took: 1091.9803687739995 
[codecarbon INFO @ 13:03:14] Energy consumed for RAM : 0.006066 kWh. RAM Power : 20.0 W 
[codecarbon INFO @ 13:03:14] Delta energy consumed for CPU with constant : 0.000102 kWh, power : 32.5 W 
[codecarbon INFO @ 13:03:14] Energy consumed for All CPU : 0.009858 kWh 
[codecarbon INFO @ 13:03:14] 0.015925 kWh of electricity and 0.000000 L of water were used since the beginning. </t>
  </si>
  <si>
    <t xml:space="preserve">Processing took: 1106.582010225 
[codecarbon INFO @ 13:31:13] Energy consumed for RAM : 0.006147 kWh. RAM Power : 20.0 W 
[codecarbon INFO @ 13:31:13] Delta energy consumed for CPU with constant : 0.000098 kWh, power : 32.5 W 
[codecarbon INFO @ 13:31:13] Energy consumed for All CPU : 0.009990 kWh 
[codecarbon INFO @ 13:31:13] 0.016137 kWh of electricity and 0.000000 L of water were used since the beginning. </t>
  </si>
  <si>
    <t xml:space="preserve">Processing took: 614.8049465900003 
[codecarbon INFO @ 14:45:35] Energy consumed for RAM : 0.003413 kWh. RAM Power : 20.0 W 
[codecarbon INFO @ 14:45:35] Delta energy consumed for CPU with constant : 0.000123 kWh, power : 32.5 W 
[codecarbon INFO @ 14:45:35] Energy consumed for All CPU : 0.005548 kWh 
[codecarbon INFO @ 14:45:35] 0.008961 kWh of electricity and 0.000000 L of water were used since the beginning. </t>
  </si>
  <si>
    <t xml:space="preserve">Processing took: 612.9036027300008 
[codecarbon INFO @ 15:10:14] Energy consumed for RAM : 0.003401 kWh. RAM Power : 20.0 W 
[codecarbon INFO @ 15:10:14] Delta energy consumed for CPU with constant : 0.000112 kWh, power : 32.5 W 
[codecarbon INFO @ 15:10:14] Energy consumed for All CPU : 0.005530 kWh 
[codecarbon INFO @ 15:10:14] 0.008931 kWh of electricity and 0.000000 L of water were used since the beginning. </t>
  </si>
  <si>
    <t xml:space="preserve">Processing took: 617.6255219879986 
[codecarbon INFO @ 15:34:01] Energy consumed for RAM : 0.003427 kWh. RAM Power : 20.0 W 
[codecarbon INFO @ 15:34:01] Delta energy consumed for CPU with constant : 0.000016 kWh, power : 32.5 W 
[codecarbon INFO @ 15:34:01] Energy consumed for All CPU : 0.005572 kWh 
[codecarbon INFO @ 15:34:01] 0.008999 kWh of electricity and 0.000000 L of water were used since the beginning. </t>
  </si>
  <si>
    <t xml:space="preserve">Processing took: 599.0532249129992 
[codecarbon INFO @ 16:04:28] Energy consumed for RAM : 0.003328 kWh. RAM Power : 20.0 W 
[codecarbon INFO @ 16:04:28] Delta energy consumed for CPU with constant : 0.000125 kWh, power : 32.5 W 
[codecarbon INFO @ 16:04:28] Energy consumed for All CPU : 0.005408 kWh 
[codecarbon INFO @ 16:04:28] 0.008737 kWh of electricity and 0.000000 L of water were used since the beginning. </t>
  </si>
  <si>
    <t xml:space="preserve">Processing took: 605.8639079759978 
[codecarbon INFO @ 16:15:11] Energy consumed for RAM : 0.003366 kWh. RAM Power : 20.0 W 
[codecarbon INFO @ 16:15:11] Delta energy consumed for CPU with constant : 0.000051 kWh, power : 32.5 W 
[codecarbon INFO @ 16:15:11] Energy consumed for All CPU : 0.005470 kWh 
[codecarbon INFO @ 16:15:11] 0.008836 kWh of electricity and 0.000000 L of water were used since the beginning. </t>
  </si>
  <si>
    <t xml:space="preserve">Processing took: 598.9526973520005 
[codecarbon INFO @ 16:26:40] Energy consumed for RAM : 0.003328 kWh. RAM Power : 20.0 W 
[codecarbon INFO @ 16:26:40] Delta energy consumed for CPU with constant : 0.000124 kWh, power : 32.5 W 
[codecarbon INFO @ 16:26:40] Energy consumed for All CPU : 0.005407 kWh 
[codecarbon INFO @ 16:26:40] 0.008735 kWh of electricity and 0.000000 L of water were used since the beginning. </t>
  </si>
  <si>
    <t xml:space="preserve">Processing took: 10.704819309001323
[codecarbon INFO @ 16:29:59] Energy consumed for RAM : 0.000051 kWh. RAM Power : 20.0 W 
[codecarbon INFO @ 16:29:59] Delta energy consumed for CPU with constant : 0.000083 kWh, power : 32.5 W 
[codecarbon INFO @ 16:29:59] Energy consumed for All CPU : 0.000083 kWh 
[codecarbon INFO @ 16:29:59] 0.000133 kWh of electricity and 0.000000 L of water were used since the beginning. 
[codecarbon INFO @ 16:29:59] Done! </t>
  </si>
  <si>
    <t xml:space="preserve">Processing took: 10.636075109003286
[codecarbon INFO @ 16:31:25] Energy consumed for RAM : 0.000050 kWh. RAM Power : 20.0 W 
[codecarbon INFO @ 16:31:25] Delta energy consumed for CPU with constant : 0.000082 kWh, power : 32.5 W 
[codecarbon INFO @ 16:31:25] Energy consumed for All CPU : 0.000082 kWh 
[codecarbon INFO @ 16:31:25] 0.000132 kWh of electricity and 0.000000 L of water were used since the beginning. 
[codecarbon INFO @ 16:31:25] Done! </t>
  </si>
  <si>
    <t xml:space="preserve">Processing took: 10.840727195998625
[codecarbon INFO @ 16:32:57] Energy consumed for RAM : 0.000052 kWh. RAM Power : 20.0 W 
[codecarbon INFO @ 16:32:57] Delta energy consumed for CPU with constant : 0.000084 kWh, power : 32.5 W 
[codecarbon INFO @ 16:32:57] Energy consumed for All CPU : 0.000084 kWh 
[codecarbon INFO @ 16:32:57] 0.000136 kWh of electricity and 0.000000 L of water were used since the beginning. 
[codecarbon INFO @ 16:32:57] Done! </t>
  </si>
  <si>
    <t xml:space="preserve">Processing took: 244.07654304800235
[codecarbon INFO @ 16:37:25] Energy consumed for RAM : 0.001347 kWh. RAM Power : 20.0 W 
[codecarbon INFO @ 16:37:25] Delta energy consumed for CPU with constant : 0.000021 kWh, power : 32.5 W 
[codecarbon INFO @ 16:37:25] Energy consumed for All CPU : 0.002190 kWh 
[codecarbon INFO @ 16:37:25] 0.003537 kWh of electricity and 0.000000 L of water were used since the beginning. 
[codecarbon INFO @ 16:37:25] Done! </t>
  </si>
  <si>
    <t xml:space="preserve">Processing took: 243.5601164460022
[codecarbon INFO @ 16:43:21] Energy consumed for RAM : 0.001344 kWh. RAM Power : 20.0 W 
[codecarbon INFO @ 16:43:21] Delta energy consumed for CPU with constant : 0.000016 kWh, power : 32.5 W 
[codecarbon INFO @ 16:43:21] Energy consumed for All CPU : 0.002185 kWh 
[codecarbon INFO @ 16:43:21] 0.003529 kWh of electricity and 0.000000 L of water were used since the beginning. 
[codecarbon INFO @ 16:43:21] Done! </t>
  </si>
  <si>
    <t xml:space="preserve">Processing took: 242.62581979300012
[codecarbon INFO @ 16:49:08] Energy consumed for RAM : 0.001339 kWh. RAM Power : 20.0 W 
[codecarbon INFO @ 16:49:08] Delta energy consumed for CPU with constant : 0.000008 kWh, power : 32.5 W 
[codecarbon INFO @ 16:49:08] Energy consumed for All CPU : 0.002176 kWh 
[codecarbon INFO @ 16:49:08] 0.003516 kWh of electricity and 0.000000 L of water were used since the beginning. 
[codecarbon INFO @ 16:49:08] Done! </t>
  </si>
  <si>
    <t xml:space="preserve">Processing took: 2167.1972305100026
[codecarbon INFO @ 17:29:00] Energy consumed for RAM : 0.012031 kWh. RAM Power : 20.0 W 
[codecarbon INFO @ 17:29:00] Delta energy consumed for CPU with constant : 0.000037 kWh, power : 32.5 W 
[codecarbon INFO @ 17:29:00] Energy consumed for All CPU : 0.019551 kWh 
[codecarbon INFO @ 17:29:00] 0.031582 kWh of electricity and 0.000000 L of water were used since the beginning. 
[codecarbon INFO @ 17:29:00] Done! </t>
  </si>
  <si>
    <t xml:space="preserve">Processing took: 2143.724370879998
[codecarbon INFO @ 18:27:07] Energy consumed for RAM : 0.011900 kWh. RAM Power : 20.0 W 
[codecarbon INFO @ 18:27:07] Delta energy consumed for CPU with constant : 0.000098 kWh, power : 32.5 W 
[codecarbon INFO @ 18:27:07] Energy consumed for All CPU : 0.019338 kWh 
[codecarbon INFO @ 18:27:07] 0.031239 kWh of electricity and 0.000000 L of water were used since the beginning. 
[codecarbon INFO @ 18:27:07] Done! </t>
  </si>
  <si>
    <t xml:space="preserve">Processing took: 2183.128638956001
[codecarbon INFO @ 19:04:59] Energy consumed for RAM : 0.012118 kWh. RAM Power : 20.0 W 
[codecarbon INFO @ 19:04:59] Delta energy consumed for CPU with constant : 0.000042 kWh, power : 32.5 W 
[codecarbon INFO @ 19:04:59] Energy consumed for All CPU : 0.019692 kWh 
[codecarbon INFO @ 19:04:59] 0.031809 kWh of electricity and 0.000000 L of water were used since the beginning. 
[codecarbon INFO @ 19:04:59] Done! </t>
  </si>
  <si>
    <t>Processing took: 11266.820328300004
[codecarbon INFO @ 23:18:35] Energy consumed for RAM : 0.062572 kWh. RAM Power : 20.0 W 
[codecarbon INFO @ 23:18:35] Delta energy consumed for CPU with constant : 0.000679 kWh, power : 260.0 W 
[codecarbon INFO @ 23:18:35] Energy consumed for All CPU : 0.813452 kWh 
[codecarbon INFO @ 23:18:35] Energy consumed for all GPUs : 0.000000 kWh. Total GPU Power : 0.0 W 
[codecarbon INFO @ 23:18:35] 0.876024 kWh of electricity used since the beginning.</t>
  </si>
  <si>
    <t>Processing took: 11310.698011799977
[codecarbon INFO @ 03:01:31] Energy consumed for RAM : 0.062817 kWh. RAM Power : 20.0 W 
[codecarbon INFO @ 03:01:31] Delta energy consumed for CPU with constant : 0.000619 kWh, power : 260.0 W 
[codecarbon INFO @ 03:01:31] Energy consumed for All CPU : 0.816642 kWh 
[codecarbon INFO @ 03:01:31] Energy consumed for all GPUs : 0.000000 kWh. Total GPU Power : 0.0 W 
[codecarbon INFO @ 03:01:31] 0.879459 kWh of electricity used since the beginning</t>
  </si>
  <si>
    <t>Processing took: 11317.20445619998
[codecarbon INFO @ 11:53:17] Energy consumed for RAM : 0.062865 kWh. RAM Power : 20.0 W 
[codecarbon INFO @ 11:53:17] Delta energy consumed for CPU with constant : 0.000187 kWh, power : 260.0 W 
[codecarbon INFO @ 11:53:17] Energy consumed for All CPU : 0.817266 kWh 
[codecarbon INFO @ 11:53:17] Energy consumed for all GPUs : 0.000000 kWh. Total GPU Power : 0.0 W 
[codecarbon INFO @ 11:53:17] 0.880131 kWh of electricity used since the beginning.</t>
  </si>
  <si>
    <t xml:space="preserve">Processing took: 4952.966976199998
[codecarbon INFO @ 14:30:05] Energy consumed for RAM : 0.027499 kWh. RAM Power : 20.0 W 
[codecarbon INFO @ 14:30:05] Delta energy consumed for CPU with constant : 0.000999 kWh, power : 260.0 W 
[codecarbon INFO @ 14:30:05] Energy consumed for All CPU : 0.357498 kWh 
[codecarbon INFO @ 14:30:05] Energy consumed for all GPUs : 0.000000 kWh. Total GPU Power : 0.0 W 
[codecarbon INFO @ 14:30:05] 0.384997 kWh of electricity used since the beginning. </t>
  </si>
  <si>
    <t xml:space="preserve">Processing took: 4913.124096899999
[codecarbon INFO @ 13:22:43] Energy consumed for RAM : 0.027273 kWh. RAM Power : 20.0 W 
[codecarbon INFO @ 13:22:43] Delta energy consumed for CPU with constant : 0.000203 kWh, power : 260.0 W 
[codecarbon INFO @ 13:22:43] Energy consumed for All CPU : 0.354558 kWh 
[codecarbon INFO @ 13:22:43] Energy consumed for all GPUs : 0.000000 kWh. Total GPU Power : 0.0 W 
[codecarbon INFO @ 13:22:43] 0.381831 kWh of electricity used since the beginning. </t>
  </si>
  <si>
    <t xml:space="preserve">Processing took: 5058.6378377
[codecarbon INFO @ 15:20:24] Energy consumed for RAM : 0.028088 kWh. RAM Power : 20.0 W 
[codecarbon INFO @ 15:20:24] Delta energy consumed for CPU with constant : 0.001046 kWh, power : 260.0 W 
[codecarbon INFO @ 15:20:24] Energy consumed for All CPU : 0.365154 kWh 
[codecarbon INFO @ 15:20:24] Energy consumed for all GPUs : 0.000000 kWh. Total GPU Power : 0.0 W 
[codecarbon INFO @ 15:20:24] 0.393242 kWh of electricity used since the beginning. </t>
  </si>
  <si>
    <t xml:space="preserve">Processing took: 1.9046227050000013
[codecarbon INFO @ 15:10:10] Energy consumed for RAM : 0.000002 kWh. RAM Power : 20.0 W 
[codecarbon INFO @ 15:10:10] Delta energy consumed for CPU with constant : 0.000003 kWh, power : 32.5 W 
[codecarbon INFO @ 15:10:10] Energy consumed for All CPU : 0.000003 kWh 
[codecarbon INFO @ 15:10:10] 0.000005 kWh of electricity and 0.000000 L of water were used since the beginning. </t>
  </si>
  <si>
    <t xml:space="preserve">Processing took: 1.901537803999993
[codecarbon INFO @ 15:10:21] Energy consumed for RAM : 0.000002 kWh. RAM Power : 20.0 W 
[codecarbon INFO @ 15:10:21] Delta energy consumed for CPU with constant : 0.000003 kWh, power : 32.5 W 
[codecarbon INFO @ 15:10:21] Energy consumed for All CPU : 0.000003 kWh 
[codecarbon INFO @ 15:10:21] 0.000005 kWh of electricity and 0.000000 L of water were used since the beginning. </t>
  </si>
  <si>
    <t xml:space="preserve">Processing took: 1.9069171189999992
[codecarbon INFO @ 15:10:31] Energy consumed for RAM : 0.000002 kWh. RAM Power : 20.0 W 
[codecarbon INFO @ 15:10:31] Delta energy consumed for CPU with constant : 0.000003 kWh, power : 32.5 W 
[codecarbon INFO @ 15:10:31] Energy consumed for All CPU : 0.000003 kWh 
[codecarbon INFO @ 15:10:31] 0.000005 kWh of electricity and 0.000000 L of water were used since the beginning. </t>
  </si>
  <si>
    <t xml:space="preserve">Processing took: 1.8326149640000011
[codecarbon INFO @ 15:10:41] Energy consumed for RAM : 0.000001 kWh. RAM Power : 20.0 W 
[codecarbon INFO @ 15:10:41] Delta energy consumed for CPU with constant : 0.000002 kWh, power : 32.5 W 
[codecarbon INFO @ 15:10:41] Energy consumed for All CPU : 0.000002 kWh 
[codecarbon INFO @ 15:10:41] 0.000003 kWh of electricity and 0.000000 L of water were used since the beginning. </t>
  </si>
  <si>
    <t xml:space="preserve">Processing took: 1.7635053599999964
[codecarbon INFO @ 15:10:49] Energy consumed for RAM : 0.000001 kWh. RAM Power : 20.0 W 
[codecarbon INFO @ 15:10:49] Delta energy consumed for CPU with constant : 0.000002 kWh, power : 32.5 W 
[codecarbon INFO @ 15:10:49] Energy consumed for All CPU : 0.000002 kWh 
[codecarbon INFO @ 15:10:49] 0.000003 kWh of electricity and 0.000000 L of water were used since the beginning. </t>
  </si>
  <si>
    <t xml:space="preserve">Processing took: 1.792301646999988
[codecarbon INFO @ 15:10:56] Energy consumed for RAM : 0.000001 kWh. RAM Power : 20.0 W 
[codecarbon INFO @ 15:10:56] Delta energy consumed for CPU with constant : 0.000002 kWh, power : 32.5 W 
[codecarbon INFO @ 15:10:56] Energy consumed for All CPU : 0.000002 kWh 
[codecarbon INFO @ 15:10:56] 0.000004 kWh of electricity and 0.000000 L of water were used since the beginning. </t>
  </si>
  <si>
    <t xml:space="preserve">Processing took: 3.368436701999997
[codecarbon INFO @ 15:11:08] Energy consumed for RAM : 0.000010 kWh. RAM Power : 20.0 W 
[codecarbon INFO @ 15:11:08] Delta energy consumed for CPU with constant : 0.000016 kWh, power : 32.5 W 
[codecarbon INFO @ 15:11:08] Energy consumed for All CPU : 0.000016 kWh 
[codecarbon INFO @ 15:11:08] 0.000026 kWh of electricity and 0.000000 L of water were used since the beginning. </t>
  </si>
  <si>
    <t xml:space="preserve">Processing took: 3.312090613999999
[codecarbon INFO @ 15:11:17] Energy consumed for RAM : 0.000010 kWh. RAM Power : 20.0 W 
[codecarbon INFO @ 15:11:17] Delta energy consumed for CPU with constant : 0.000016 kWh, power : 32.5 W 
[codecarbon INFO @ 15:11:17] Energy consumed for All CPU : 0.000016 kWh 
[codecarbon INFO @ 15:11:17] 0.000026 kWh of electricity and 0.000000 L of water were used since the beginning. </t>
  </si>
  <si>
    <t xml:space="preserve">Processing took: 3.3444518429999874
[codecarbon INFO @ 15:11:27] Energy consumed for RAM : 0.000010 kWh. RAM Power : 20.0 W 
[codecarbon INFO @ 15:11:27] Delta energy consumed for CPU with constant : 0.000016 kWh, power : 32.5 W 
[codecarbon INFO @ 15:11:27] Energy consumed for All CPU : 0.000016 kWh 
[codecarbon INFO @ 15:11:27] 0.000026 kWh of electricity and 0.000000 L of water were used since the beginning. </t>
  </si>
  <si>
    <t xml:space="preserve">Processing took: 4.411630704000004
[codecarbon INFO @ 15:11:40] Energy consumed for RAM : 0.000016 kWh. RAM Power : 20.0 W 
[codecarbon INFO @ 15:11:40] Delta energy consumed for CPU with constant : 0.000026 kWh, power : 32.5 W 
[codecarbon INFO @ 15:11:40] Energy consumed for All CPU : 0.000026 kWh 
[codecarbon INFO @ 15:11:40] 0.000042 kWh of electricity and 0.000000 L of water were used since the beginning. </t>
  </si>
  <si>
    <t xml:space="preserve">Processing took: 4.2243941149999955
[codecarbon INFO @ 15:11:51] Energy consumed for RAM : 0.000015 kWh. RAM Power : 20.0 W 
[codecarbon INFO @ 15:11:51] Delta energy consumed for CPU with constant : 0.000024 kWh, power : 32.5 W 
[codecarbon INFO @ 15:11:51] Energy consumed for All CPU : 0.000024 kWh 
[codecarbon INFO @ 15:11:51] 0.000039 kWh of electricity and 0.000000 L of water were used since the beginning. </t>
  </si>
  <si>
    <t xml:space="preserve">Processing took: 4.20669410299999
[codecarbon INFO @ 15:12:01] Energy consumed for RAM : 0.000015 kWh. RAM Power : 20.0 W 
[codecarbon INFO @ 15:12:01] Delta energy consumed for CPU with constant : 0.000024 kWh, power : 32.5 W 
[codecarbon INFO @ 15:12:01] Energy consumed for All CPU : 0.000024 kWh 
[codecarbon INFO @ 15:12:01] 0.000039 kWh of electricity and 0.000000 L of water were used since the beginning. </t>
  </si>
  <si>
    <t xml:space="preserve">Processing took: 2.14544312000001
[codecarbon INFO @ 15:12:11] Energy consumed for RAM : 0.000003 kWh. RAM Power : 20.0 W 
[codecarbon INFO @ 15:12:11] Delta energy consumed for CPU with constant : 0.000005 kWh, power : 32.5 W 
[codecarbon INFO @ 15:12:11] Energy consumed for All CPU : 0.000005 kWh 
[codecarbon INFO @ 15:12:11] 0.000009 kWh of electricity and 0.000000 L of water were used since the beginning. </t>
  </si>
  <si>
    <t xml:space="preserve">Processing took: 2.1469888599999933
[codecarbon INFO @ 15:12:19] Energy consumed for RAM : 0.000003 kWh. RAM Power : 20.0 W 
[codecarbon INFO @ 15:12:19] Delta energy consumed for CPU with constant : 0.000005 kWh, power : 32.5 W 
[codecarbon INFO @ 15:12:19] Energy consumed for All CPU : 0.000005 kWh 
[codecarbon INFO @ 15:12:19] 0.000009 kWh of electricity and 0.000000 L of water were used since the beginning. </t>
  </si>
  <si>
    <t xml:space="preserve">Processing took: 2.149499636999991
[codecarbon INFO @ 15:12:27] Energy consumed for RAM : 0.000003 kWh. RAM Power : 20.0 W 
[codecarbon INFO @ 15:12:27] Delta energy consumed for CPU with constant : 0.000005 kWh, power : 32.5 W 
[codecarbon INFO @ 15:12:27] Energy consumed for All CPU : 0.000005 kWh 
[codecarbon INFO @ 15:12:27] 0.000009 kWh of electricity and 0.000000 L of water were used since the beginning. </t>
  </si>
  <si>
    <t xml:space="preserve">Processing took: 347.35130860799995
[codecarbon INFO @ 08:56:08] Energy consumed for RAM : 0.001922 kWh. RAM Power : 20.0 W 
[codecarbon INFO @ 08:56:08] Delta energy consumed for CPU with constant : 0.000008 kWh, power : 32.5 W 
[codecarbon INFO @ 08:56:08] Energy consumed for All CPU : 0.003124 kWh 
[codecarbon INFO @ 08:56:08] 0.005046 kWh of electricity and 0.000000 L of water were used since the beginning. </t>
  </si>
  <si>
    <t xml:space="preserve">Processing took: 345.788413378
[codecarbon INFO @ 09:07:15] Energy consumed for RAM : 0.001914 kWh. RAM Power : 20.0 W 
[codecarbon INFO @ 09:07:15] Delta energy consumed for CPU with constant : 0.000129 kWh, power : 32.5 W 
[codecarbon INFO @ 09:07:15] Energy consumed for All CPU : 0.003110 kWh 
[codecarbon INFO @ 09:07:15] 0.005023 kWh of electricity and 0.000000 L of water were used since the beginning. </t>
  </si>
  <si>
    <t xml:space="preserve">Processing took: 327.0363887669996
[codecarbon INFO @ 09:33:17] Energy consumed for RAM : 0.001809 kWh. RAM Power : 20.0 W 
[codecarbon INFO @ 09:33:17] Delta energy consumed for CPU with constant : 0.000095 kWh, power : 32.5 W 
[codecarbon INFO @ 09:33:17] Energy consumed for All CPU : 0.002940 kWh 
[codecarbon INFO @ 09:33:17] 0.004750 kWh of electricity and 0.000000 L of water were used since the beginning. </t>
  </si>
  <si>
    <t xml:space="preserve">Processing took: 791.230698868
[codecarbon INFO @ 09:17:08] Energy consumed for RAM : 0.004388 kWh. RAM Power : 20.0 W 
[codecarbon INFO @ 09:17:08] Delta energy consumed for CPU with constant : 0.000088 kWh, power : 32.5 W 
[codecarbon INFO @ 09:17:08] Energy consumed for All CPU : 0.007130 kWh 
[codecarbon INFO @ 09:17:08] Energy consumed for all GPUs : 0.000000 kWh. Total GPU Power : 0.0 W 
[codecarbon INFO @ 09:17:08] 0.011518 kWh of electricity and 0.000000 L of water were used since the beginning. </t>
  </si>
  <si>
    <t xml:space="preserve">Processing took: 724.453017236
[codecarbon INFO @ 09:30:31] Energy consumed for RAM : 0.004017 kWh. RAM Power : 20.0 W 
[codecarbon INFO @ 09:30:31] Delta energy consumed for CPU with constant : 0.000026 kWh, power : 32.5 W 
[codecarbon INFO @ 09:30:31] Energy consumed for All CPU : 0.006527 kWh 
[codecarbon INFO @ 09:30:31] Energy consumed for all GPUs : 0.000000 kWh. Total GPU Power : 0.0 W 
[codecarbon INFO @ 09:30:31] 0.010544 kWh of electricity and 0.000000 L of water were used since the beginning. </t>
  </si>
  <si>
    <t xml:space="preserve">Processing took: 718.0946614619997
[codecarbon INFO @ 10:22:58] Energy consumed for RAM : 0.003982 kWh. RAM Power : 20.0 W 
[codecarbon INFO @ 10:22:58] Delta energy consumed for CPU with constant : 0.000105 kWh, power : 32.5 W 
[codecarbon INFO @ 10:22:58] Energy consumed for All CPU : 0.006470 kWh 
[codecarbon INFO @ 10:22:58] Energy consumed for all GPUs : 0.000000 kWh. Total GPU Power : 0.0 W 
[codecarbon INFO @ 10:22:58] 0.010452 kWh of electricity and 0.000000 L of water were used since the beginning. </t>
  </si>
  <si>
    <t xml:space="preserve">Processing took: 241.87673573699976
[codecarbon INFO @ 10:44:22] Energy consumed for RAM : 0.001335 kWh. RAM Power : 20.0 W 
[codecarbon INFO @ 10:44:22] Delta energy consumed for CPU with constant : 0.000002 kWh, power : 32.5 W 
[codecarbon INFO @ 10:44:22] Energy consumed for All CPU : 0.002170 kWh 
[codecarbon INFO @ 10:44:22] 0.003505 kWh of electricity and 0.000000 L of water were used since the beginning. </t>
  </si>
  <si>
    <t xml:space="preserve">Processing took: 249.0822830449997
[codecarbon INFO @ 10:49:09] Energy consumed for RAM : 0.001374 kWh. RAM Power : 20.0 W 
[codecarbon INFO @ 10:49:09] Delta energy consumed for CPU with constant : 0.000065 kWh, power : 32.5 W 
[codecarbon INFO @ 10:49:09] Energy consumed for All CPU : 0.002232 kWh 
[codecarbon INFO @ 10:49:09] 0.003606 kWh of electricity and 0.000000 L of water were used since the beginning. </t>
  </si>
  <si>
    <t xml:space="preserve">Processing took: 236.80999062199953
[codecarbon INFO @ 11:00:34] Energy consumed for RAM : 0.001308 kWh. RAM Power : 20.0 W 
[codecarbon INFO @ 11:00:34] Delta energy consumed for CPU with constant : 0.000093 kWh, power : 32.5 W 
[codecarbon INFO @ 11:00:34] Energy consumed for All CPU : 0.002125 kWh 
[codecarbon INFO @ 11:00:34] Energy consumed for all GPUs : 0.000000 kWh. Total GPU Power : 0.0 W 
[codecarbon INFO @ 11:00:34] 0.003433 kWh of electricity and 0.000000 L of water were used since the beginning. </t>
  </si>
  <si>
    <t xml:space="preserve">Processing took: 235.37219952099986
[codecarbon INFO @ 11:37:18] Energy consumed for RAM : 0.001300 kWh. RAM Power : 20.0 W 
[codecarbon INFO @ 11:37:18] Delta energy consumed for CPU with constant : 0.000080 kWh, power : 32.5 W 
[codecarbon INFO @ 11:37:18] Energy consumed for All CPU : 0.002112 kWh 
[codecarbon INFO @ 11:37:18] Energy consumed for all GPUs : 0.000000 kWh. Total GPU Power : 0.0 W 
[codecarbon INFO @ 11:37:18] 0.003412 kWh of electricity and 0.000000 L of water were used since the beginning. </t>
  </si>
  <si>
    <t xml:space="preserve">Processing took: 241.03116315399893 
[codecarbon INFO @ 11:45:24] Energy consumed for RAM : 0.001331 kWh. RAM Power : 20.0 W 
[codecarbon INFO @ 11:45:24] Delta energy consumed for CPU with constant : 0.000131 kWh, power : 32.5 W 
[codecarbon INFO @ 11:45:24] Energy consumed for All CPU : 0.002163 kWh 
[codecarbon INFO @ 11:45:24] Energy consumed for all GPUs : 0.000000 kWh. Total GPU Power : 0.0 W 
[codecarbon INFO @ 11:45:24] 0.003494 kWh of electricity and 0.000000 L of water were used since the beginning. </t>
  </si>
  <si>
    <t xml:space="preserve">Processing took: 843.0471589650006
[codecarbon INFO @ 11:04:16] Energy consumed for RAM : 0.004676 kWh. RAM Power : 20.0 W 
[codecarbon INFO @ 11:04:16] Delta energy consumed for CPU with constant : 0.000012 kWh, power : 32.5 W 
[codecarbon INFO @ 11:04:16] Energy consumed for All CPU : 0.007599 kWh 
[codecarbon INFO @ 11:04:16] 0.012274 kWh of electricity and 0.000000 L of water were used since the beginning. </t>
  </si>
  <si>
    <t xml:space="preserve">Processing took: 871.0794347969986
[codecarbon INFO @ 12:32:29] Energy consumed for RAM : 0.004832 kWh. RAM Power : 20.0 W 
[codecarbon INFO @ 12:32:29] Delta energy consumed for CPU with constant : 0.000129 kWh, power : 32.5 W 
[codecarbon INFO @ 12:32:29] Energy consumed for All CPU : 0.007852 kWh 
[codecarbon INFO @ 12:32:29] 0.012683 kWh of electricity and 0.000000 L of water were used since the beginning. </t>
  </si>
  <si>
    <t xml:space="preserve">Processing took: 886.4867638420001
[codecarbon INFO @ 13:19:17] Energy consumed for RAM : 0.004917 kWh. RAM Power : 20.0 W 
[codecarbon INFO @ 13:19:17] Delta energy consumed for CPU with constant : 0.000131 kWh, power : 32.5 W 
[codecarbon INFO @ 13:19:17] Energy consumed for All CPU : 0.007991 kWh 
[codecarbon INFO @ 13:19:17] 0.012908 kWh of electricity and 0.000000 L of water were used since the beginning. </t>
  </si>
  <si>
    <t xml:space="preserve">Processing took: 867.0147908829986
[codecarbon INFO @ 12:34:11] Energy consumed for RAM : 0.004809 kWh. RAM Power : 20.0 W 
[codecarbon INFO @ 12:34:11] Delta energy consumed for CPU with constant : 0.000092 kWh, power : 32.5 W 
[codecarbon INFO @ 12:34:11] Energy consumed for All CPU : 0.007814 kWh 
[codecarbon INFO @ 12:34:11] Energy consumed for all GPUs : 0.000000 kWh. Total GPU Power : 0.0 W 
[codecarbon INFO @ 12:34:11] 0.012623 kWh of electricity and 0.000000 L of water were used since the beginning. </t>
  </si>
  <si>
    <t xml:space="preserve">Processing took: 868.7981639979989
[codecarbon INFO @ 12:50:58] Energy consumed for RAM : 0.004818 kWh. RAM Power : 20.0 W 
[codecarbon INFO @ 12:50:58] Delta energy consumed for CPU with constant : 0.000109 kWh, power : 32.5 W 
[codecarbon INFO @ 12:50:58] Energy consumed for All CPU : 0.007830 kWh 
[codecarbon INFO @ 12:50:58] Energy consumed for all GPUs : 0.000000 kWh. Total GPU Power : 0.0 W 
[codecarbon INFO @ 12:50:58] 0.012649 kWh of electricity and 0.000000 L of water were used since the beginning. </t>
  </si>
  <si>
    <t xml:space="preserve">Processing took: 842.8519118919994
[codecarbon INFO @ 13:05:27] Energy consumed for RAM : 0.004674 kWh. RAM Power : 20.0 W 
[codecarbon INFO @ 13:05:27] Delta energy consumed for CPU with constant : 0.000009 kWh, power : 32.5 W 
[codecarbon INFO @ 13:05:27] Energy consumed for All CPU : 0.007595 kWh 
[codecarbon INFO @ 13:05:27] Energy consumed for all GPUs : 0.000000 kWh. Total GPU Power : 0.0 W 
[codecarbon INFO @ 13:05:27] 0.012269 kWh of electricity and 0.000000 L of water were used since the beginning. </t>
  </si>
  <si>
    <t xml:space="preserve">Processing took: 498.6382532610005
[codecarbon INFO @ 14:02:43] Energy consumed for RAM : 0.002763 kWh. RAM Power : 20.0 W 
[codecarbon INFO @ 14:02:43] Delta energy consumed for CPU with constant : 0.000019 kWh, power : 32.5 W 
[codecarbon INFO @ 14:02:43] Energy consumed for All CPU : 0.004489 kWh 
[codecarbon INFO @ 14:02:43] 0.007252 kWh of electricity and 0.000000 L of water were used since the beginning. </t>
  </si>
  <si>
    <t xml:space="preserve">Processing took: 493.0160452829987
[codecarbon INFO @ 17:09:59] Energy consumed for RAM : 0.002730 kWh. RAM Power : 20.0 W 
[codecarbon INFO @ 17:09:59] Delta energy consumed for CPU with constant : 0.000101 kWh, power : 32.5 W 
[codecarbon INFO @ 17:09:59] Energy consumed for All CPU : 0.004436 kWh 
[codecarbon INFO @ 17:09:59] 0.007166 kWh of electricity and 0.000000 L of water were used since the beginning. </t>
  </si>
  <si>
    <t xml:space="preserve">Processing took: 496.2605983129979
[codecarbon INFO @ 18:08:53] Energy consumed for RAM : 0.002748 kWh. RAM Power : 20.0 W 
[codecarbon INFO @ 18:08:53] Delta energy consumed for CPU with constant : 0.000131 kWh, power : 32.5 W 
[codecarbon INFO @ 18:08:53] Energy consumed for All CPU : 0.004466 kWh 
[codecarbon INFO @ 18:08:53] 0.007214 kWh of electricity and 0.000000 L of water were used since the beginning. </t>
  </si>
  <si>
    <t xml:space="preserve">Processing took: 494.31073533299787
[codecarbon INFO @ 14:30:14] Energy consumed for RAM : 0.002738 kWh. RAM Power : 20.0 W 
[codecarbon INFO @ 14:30:14] Delta energy consumed for CPU with constant : 0.000115 kWh, power : 32.5 W 
[codecarbon INFO @ 14:30:14] Energy consumed for All CPU : 0.004450 kWh 
[codecarbon INFO @ 14:30:14] Energy consumed for all GPUs : 0.000000 kWh. Total GPU Power : 0.0 W 
[codecarbon INFO @ 14:30:14] 0.007188 kWh of electricity and 0.000000 L of water were used since the beginning. </t>
  </si>
  <si>
    <t xml:space="preserve">Processing took: 497.2204061379998
[codecarbon INFO @ 17:44:12] Energy consumed for RAM : 0.002750 kWh. RAM Power : 20.0 W 
[codecarbon INFO @ 17:44:12] Delta energy consumed for CPU with constant : 0.000134 kWh, power : 32.5 W 
[codecarbon INFO @ 17:44:12] Energy consumed for All CPU : 0.004468 kWh 
[codecarbon INFO @ 17:44:12] Energy consumed for all GPUs : 0.000000 kWh. Total GPU Power : 0.0 W 
[codecarbon INFO @ 17:44:12] 0.007218 kWh of electricity and 0.000000 L of water were used since the beginning. </t>
  </si>
  <si>
    <t xml:space="preserve">Processing took: 494.1129994219991
[codecarbon INFO @ 17:56:05] Energy consumed for RAM : 0.002736 kWh. RAM Power : 20.0 W 
[codecarbon INFO @ 17:56:05] Delta energy consumed for CPU with constant : 0.000111 kWh, power : 32.5 W 
[codecarbon INFO @ 17:56:05] Energy consumed for All CPU : 0.004446 kWh 
[codecarbon INFO @ 17:56:05] Energy consumed for all GPUs : 0.000000 kWh. Total GPU Power : 0.0 W 
[codecarbon INFO @ 17:56:05] 0.007182 kWh of electricity and 0.000000 L of water were used since the beginning. </t>
  </si>
  <si>
    <t xml:space="preserve">Processing took: 187.78750080899772
[codecarbon INFO @ 18:43:25] Energy consumed for RAM : 0.001034 kWh. RAM Power : 20.0 W 
[codecarbon INFO @ 18:43:25] Delta energy consumed for CPU with constant : 0.000055 kWh, power : 32.5 W 
[codecarbon INFO @ 18:43:25] Energy consumed for All CPU : 0.001681 kWh 
[codecarbon INFO @ 18:43:25] 0.002715 kWh of electricity and 0.000000 L of water were used since the beginning. </t>
  </si>
  <si>
    <t xml:space="preserve">Processing took: 191.25249484800588
[codecarbon INFO @ 19:39:50] Energy consumed for RAM : 0.001054 kWh. RAM Power : 20.0 W 
[codecarbon INFO @ 19:39:50] Delta energy consumed for CPU with constant : 0.000087 kWh, power : 32.5 W 
[codecarbon INFO @ 19:39:50] Energy consumed for All CPU : 0.001712 kWh 
[codecarbon INFO @ 19:39:50] 0.002766 kWh of electricity and 0.000000 L of water were used since the beginning. </t>
  </si>
  <si>
    <t xml:space="preserve">Processing took: 189.36822183099866
[codecarbon INFO @ 22:46:29] Energy consumed for RAM : 0.001045 kWh. RAM Power : 20.0 W 
[codecarbon INFO @ 22:46:29] Delta energy consumed for CPU with constant : 0.000072 kWh, power : 32.5 W 
[codecarbon INFO @ 22:46:29] Energy consumed for All CPU : 0.001698 kWh 
[codecarbon INFO @ 22:46:29] 0.002742 kWh of electricity and 0.000000 L of water were used since the beginning. </t>
  </si>
  <si>
    <t xml:space="preserve">Processing took: 189.42355612100073
[codecarbon INFO @ 17:59:41] Energy consumed for RAM : 0.001043 kWh. RAM Power : 20.0 W 
[codecarbon INFO @ 17:59:41] Delta energy consumed for CPU with constant : 0.000070 kWh, power : 32.5 W 
[codecarbon INFO @ 17:59:41] Energy consumed for All CPU : 0.001695 kWh 
[codecarbon INFO @ 17:59:41] Energy consumed for all GPUs : 0.000000 kWh. Total GPU Power : 0.0 W 
[codecarbon INFO @ 17:59:41] 0.002739 kWh of electricity and 0.000000 L of water were used since the beginning. </t>
  </si>
  <si>
    <t xml:space="preserve">Processing took: 190.3158524169994
[codecarbon INFO @ 18:18:21] Energy consumed for RAM : 0.001048 kWh. RAM Power : 20.0 W 
[codecarbon INFO @ 18:18:21] Delta energy consumed for CPU with constant : 0.000078 kWh, power : 32.5 W 
[codecarbon INFO @ 18:18:21] Energy consumed for All CPU : 0.001704 kWh 
[codecarbon INFO @ 18:18:21] Energy consumed for all GPUs : 0.000000 kWh. Total GPU Power : 0.0 W 
[codecarbon INFO @ 18:18:21] 0.002752 kWh of electricity and 0.000000 L of water were used since the beginning. </t>
  </si>
  <si>
    <t xml:space="preserve">Processing took: 240.80128967699966
[codecarbon INFO @ 10:38:03] Energy consumed for RAM : 0.001330 kWh. RAM Power : 20.0 W 
[codecarbon INFO @ 10:38:03] Delta energy consumed for CPU with constant : 0.000130 kWh, power : 32.5 W 
[codecarbon INFO @ 10:38:03] Energy consumed for All CPU : 0.002162 kWh 
[codecarbon INFO @ 10:38:03] 0.003492 kWh of electricity and 0.000000 L of water were used since the beginning. </t>
  </si>
  <si>
    <t xml:space="preserve">Processing took: 722.0536678040007
[codecarbon INFO @ 19:51:09] Energy consumed for RAM : 0.004002 kWh. RAM Power : 20.0 W 
[codecarbon INFO @ 19:51:09] Delta energy consumed for CPU with constant : 0.000134 kWh, power : 32.5 W 
[codecarbon INFO @ 19:51:09] Energy consumed for All CPU : 0.006504 kWh 
[codecarbon INFO @ 19:51:09] 0.010506 kWh of electricity and 0.000000 L of water were used since the beginning. </t>
  </si>
  <si>
    <t xml:space="preserve">Processing took: 726.8910156799975
[codecarbon INFO @ 20:36:13] Energy consumed for RAM : 0.004029 kWh. RAM Power : 20.0 W 
[codecarbon INFO @ 20:36:13] Delta energy consumed for CPU with constant : 0.000043 kWh, power : 32.5 W 
[codecarbon INFO @ 20:36:13] Energy consumed for All CPU : 0.006548 kWh 
[codecarbon INFO @ 20:36:13] 0.010577 kWh of electricity and 0.000000 L of water were used since the beginning. </t>
  </si>
  <si>
    <t xml:space="preserve">Processing took: 729.934670339
[codecarbon INFO @ 09:52:46] Energy consumed for RAM : 0.004047 kWh. RAM Power : 20.0 W 
[codecarbon INFO @ 09:52:46] Delta energy consumed for CPU with constant : 0.000072 kWh, power : 32.5 W 
[codecarbon INFO @ 09:52:46] Energy consumed for All CPU : 0.006577 kWh 
[codecarbon INFO @ 09:52:46] 0.010624 kWh of electricity and 0.000000 L of water were used since the beginning. </t>
  </si>
  <si>
    <t xml:space="preserve">Processing took: 206.07544162700003
[codecarbon INFO @ 15:26:53] Energy consumed for RAM : 0.001137 kWh. RAM Power : 20.0 W 
[codecarbon INFO @ 15:26:53] Delta energy consumed for CPU with constant : 0.000086 kWh, power : 32.5 W 
[codecarbon INFO @ 15:26:53] Energy consumed for All CPU : 0.001847 kWh 
[codecarbon INFO @ 15:26:53] Energy consumed for all GPUs : 0.000000 kWh. Total GPU Power : 0.0 W 
[codecarbon INFO @ 15:26:53] 0.002984 kWh of electricity and 0.000000 L of water were used since the beginning. </t>
  </si>
  <si>
    <t xml:space="preserve">Processing took: 201.777104345
[codecarbon INFO @ 15:31:07] Energy consumed for RAM : 0.001113 kWh. RAM Power : 20.0 W 
[codecarbon INFO @ 15:31:07] Delta energy consumed for CPU with constant : 0.000048 kWh, power : 32.5 W 
[codecarbon INFO @ 15:31:07] Energy consumed for All CPU : 0.001809 kWh 
[codecarbon INFO @ 15:31:07] Energy consumed for all GPUs : 0.000000 kWh. Total GPU Power : 0.0 W 
[codecarbon INFO @ 15:31:07] 0.002922 kWh of electricity and 0.000000 L of water were used since the beginning. </t>
  </si>
  <si>
    <t xml:space="preserve">Processing took: 168.30158235
[codecarbon INFO @ 15:35:21] Energy consumed for RAM : 0.000927 kWh. RAM Power : 20.0 W 
[codecarbon INFO @ 15:35:21] Delta energy consumed for CPU with constant : 0.000017 kWh, power : 32.5 W 
[codecarbon INFO @ 15:35:21] Energy consumed for All CPU : 0.001507 kWh 
[codecarbon INFO @ 15:35:21] Energy consumed for all GPUs : 0.000000 kWh. Total GPU Power : 0.0 W 
[codecarbon INFO @ 15:35:21] 0.002434 kWh of electricity and 0.000000 L of water were used since the beginning. </t>
  </si>
  <si>
    <t xml:space="preserve">Processing took: 373.8491811109998
[codecarbon INFO @ 17:38:39] Energy consumed for RAM : 0.002068 kWh. RAM Power : 20.0 W 
[codecarbon INFO @ 17:38:39] Delta energy consumed for CPU with constant : 0.000108 kWh, power : 32.5 W 
[codecarbon INFO @ 17:38:39] Energy consumed for All CPU : 0.003361 kWh 
[codecarbon INFO @ 17:38:39] 0.005429 kWh of electricity and 0.000000 L of water were used since the beginning. </t>
  </si>
  <si>
    <t xml:space="preserve">Processing took: 361.21659644100146
[codecarbon INFO @ 18:04:56] Energy consumed for RAM : 0.001998 kWh. RAM Power : 20.0 W 
[codecarbon INFO @ 18:04:56] Delta energy consumed for CPU with constant : 0.000130 kWh, power : 32.5 W 
[codecarbon INFO @ 18:04:56] Energy consumed for All CPU : 0.003247 kWh 
[codecarbon INFO @ 18:04:56] 0.005244 kWh of electricity and 0.000000 L of water were used since the beginning. </t>
  </si>
  <si>
    <t xml:space="preserve">Processing took: 376.6823748120005
[codecarbon INFO @ 21:24:59] Energy consumed for RAM : 0.002084 kWh. RAM Power : 20.0 W 
[codecarbon INFO @ 21:24:59] Delta energy consumed for CPU with constant : 0.000134 kWh, power : 32.5 W 
[codecarbon INFO @ 21:24:59] Energy consumed for All CPU : 0.003387 kWh 
[codecarbon INFO @ 21:24:59] 0.005471 kWh of electricity and 0.000000 L of water were used since the beginning. </t>
  </si>
  <si>
    <t xml:space="preserve">Processing took: 120.64153693100002
[codecarbon INFO @ 19:20:07] Energy consumed for RAM : 0.000661 kWh. RAM Power : 20.0 W 
[codecarbon INFO @ 19:20:07] Delta energy consumed for CPU with constant : 0.000126 kWh, power : 32.5 W 
[codecarbon INFO @ 19:20:07] Energy consumed for All CPU : 0.001074 kWh 
[codecarbon INFO @ 19:20:07] Energy consumed for all GPUs : 0.000000 kWh. Total GPU Power : 0.0 W 
[codecarbon INFO @ 19:20:07] 0.001736 kWh of electricity and 0.000000 L of water were used since the beginning. </t>
  </si>
  <si>
    <t xml:space="preserve">Processing took: 142.57390915299993
[codecarbon INFO @ 19:22:56] Energy consumed for RAM : 0.000783 kWh. RAM Power : 20.0 W 
[codecarbon INFO @ 19:22:56] Delta energy consumed for CPU with constant : 0.000053 kWh, power : 32.5 W 
[codecarbon INFO @ 19:22:56] Energy consumed for All CPU : 0.001272 kWh 
[codecarbon INFO @ 19:22:56] Energy consumed for all GPUs : 0.000000 kWh. Total GPU Power : 0.0 W 
[codecarbon INFO @ 19:22:56] 0.002055 kWh of electricity and 0.000000 L of water were used since the beginning. </t>
  </si>
  <si>
    <t xml:space="preserve">Processing took: 130.91141663200005
[codecarbon INFO @ 19:25:35] Energy consumed for RAM : 0.000718 kWh. RAM Power : 20.0 W 
[codecarbon INFO @ 19:25:35] Delta energy consumed for CPU with constant : 0.000083 kWh, power : 32.5 W 
[codecarbon INFO @ 19:25:35] Energy consumed for All CPU : 0.001167 kWh 
[codecarbon INFO @ 19:25:35] Energy consumed for all GPUs : 0.000000 kWh. Total GPU Power : 0.0 W 
[codecarbon INFO @ 19:25:35] 0.001886 kWh of electricity and 0.000000 L of water were used since the beginning. </t>
  </si>
  <si>
    <t xml:space="preserve">Processing took: 1831.3592378339997
[codecarbon INFO @ 08:42:17] Energy consumed for RAM : 0.010166 kWh. RAM Power : 20.0 W 
[codecarbon INFO @ 08:42:17] Delta energy consumed for CPU with constant : 0.000122 kWh, power : 32.5 W 
[codecarbon INFO @ 08:42:17] Energy consumed for All CPU : 0.016520 kWh 
[codecarbon INFO @ 08:42:17] 0.026686 kWh of electricity and 0.000000 L of water were used since the beginning. </t>
  </si>
  <si>
    <t xml:space="preserve">Processing took: 1879.9435720929996
[codecarbon INFO @ 09:15:23] Energy consumed for RAM : 0.010436 kWh. RAM Power : 20.0 W 
[codecarbon INFO @ 09:15:23] Delta energy consumed for CPU with constant : 0.000020 kWh, power : 32.5 W 
[codecarbon INFO @ 09:15:23] Energy consumed for All CPU : 0.016959 kWh 
[codecarbon INFO @ 09:15:23] 0.027395 kWh of electricity and 0.000000 L of water were used since the beginning. </t>
  </si>
  <si>
    <t xml:space="preserve">Processing took: 1910.1783600090002
[codecarbon INFO @ 09:47:44] Energy consumed for RAM : 0.010604 kWh. RAM Power : 20.0 W 
[codecarbon INFO @ 09:47:44] Delta energy consumed for CPU with constant : 0.000021 kWh, power : 32.5 W 
[codecarbon INFO @ 09:47:44] Energy consumed for All CPU : 0.017232 kWh 
[codecarbon INFO @ 09:47:44] 0.027836 kWh of electricity and 0.000000 L of water were used since the beginning. </t>
  </si>
  <si>
    <t xml:space="preserve">Processing took: 354.07133291399987 
[codecarbon INFO @ 19:32:06] Energy consumed for RAM : 0.001958 kWh. RAM Power : 20.0 W 
[codecarbon INFO @ 19:32:06] Delta energy consumed for CPU with constant : 0.000066 kWh, power : 32.5 W 
[codecarbon INFO @ 19:32:06] Energy consumed for All CPU : 0.003182 kWh 
[codecarbon INFO @ 19:32:06] Energy consumed for all GPUs : 0.000000 kWh. Total GPU Power : 0.0 W 
[codecarbon INFO @ 19:32:06] 0.005140 kWh of electricity and 0.000000 L of water were used since the beginning. </t>
  </si>
  <si>
    <t xml:space="preserve">Processing took: 421.5709813190001
[codecarbon INFO @ 19:50:25] Energy consumed for RAM : 0.002332 kWh. RAM Power : 20.0 W 
[codecarbon INFO @ 19:50:25] Delta energy consumed for CPU with constant : 0.000131 kWh, power : 32.5 W 
[codecarbon INFO @ 19:50:25] Energy consumed for All CPU : 0.003789 kWh 
[codecarbon INFO @ 19:50:25] Energy consumed for all GPUs : 0.000000 kWh. Total GPU Power : 0.0 W 
[codecarbon INFO @ 19:50:25] 0.006120 kWh of electricity and 0.000000 L of water were used since the beginning. </t>
  </si>
  <si>
    <t xml:space="preserve">Processing took: 373.97011548599994
[codecarbon INFO @ 20:02:20] Energy consumed for RAM : 0.002068 kWh. RAM Power : 20.0 W 
[codecarbon INFO @ 20:02:20] Delta energy consumed for CPU with constant : 0.000110 kWh, power : 32.5 W 
[codecarbon INFO @ 20:02:20] Energy consumed for All CPU : 0.003361 kWh 
[codecarbon INFO @ 20:02:20] Energy consumed for all GPUs : 0.000000 kWh. Total GPU Power : 0.0 W 
[codecarbon INFO @ 20:02:20] 0.005430 kWh of electricity and 0.000000 L of water were used since the beginning. </t>
  </si>
  <si>
    <t xml:space="preserve">Processing took: 1914.0438064109999
[codecarbon INFO @ 10:30:41] Energy consumed for RAM : 0.010626 kWh. RAM Power : 20.0 W 
[codecarbon INFO @ 10:30:41] Delta energy consumed for CPU with constant : 0.000055 kWh, power : 32.5 W 
[codecarbon INFO @ 10:30:41] Energy consumed for All CPU : 0.017267 kWh 
[codecarbon INFO @ 10:30:41] 0.027893 kWh of electricity and 0.000000 L of water were used since the beginning. </t>
  </si>
  <si>
    <t xml:space="preserve">Processing took: 1788.5526802369995
[codecarbon INFO @ 11:43:39] Energy consumed for RAM : 0.009929 kWh. RAM Power : 20.0 W 
[codecarbon INFO @ 11:43:39] Delta energy consumed for CPU with constant : 0.000008 kWh, power : 32.5 W 
[codecarbon INFO @ 11:43:39] Energy consumed for All CPU : 0.016134 kWh 
[codecarbon INFO @ 11:43:39] 0.026063 kWh of electricity and 0.000000 L of water were used since the beginning. </t>
  </si>
  <si>
    <t xml:space="preserve">Processing took: 1829.4759115670004
[codecarbon INFO @ 12:27:31] Energy consumed for RAM : 0.010156 kWh. RAM Power : 20.0 W 
[codecarbon INFO @ 12:27:31] Delta energy consumed for CPU with constant : 0.000105 kWh, power : 32.5 W 
[codecarbon INFO @ 12:27:31] Energy consumed for All CPU : 0.016504 kWh 
[codecarbon INFO @ 12:27:31] 0.026660 kWh of electricity and 0.000000 L of water were used since the beginning. </t>
  </si>
  <si>
    <t xml:space="preserve">Processing took: 907.3126392270001
[codecarbon INFO @ 16:02:20] Energy consumed for RAM : 0.005033 kWh. RAM Power : 20.0 W 
[codecarbon INFO @ 16:02:20] Delta energy consumed for CPU with constant : 0.000047 kWh, power : 32.5 W 
[codecarbon INFO @ 16:02:20] Energy consumed for All CPU : 0.008178 kWh 
[codecarbon INFO @ 16:02:20] Energy consumed for all GPUs : 0.000000 kWh. Total GPU Power : 0.0 W 
[codecarbon INFO @ 16:02:20] 0.013211 kWh of electricity and 0.000000 L of water were used since the beginning. </t>
  </si>
  <si>
    <t xml:space="preserve">Processing took: 882.665598695
[codecarbon INFO @ 16:33:46] Energy consumed for RAM : 0.004896 kWh. RAM Power : 20.0 W 
[codecarbon INFO @ 16:33:46] Delta energy consumed for CPU with constant : 0.000096 kWh, power : 32.5 W 
[codecarbon INFO @ 16:33:46] Energy consumed for All CPU : 0.007956 kWh 
[codecarbon INFO @ 16:33:46] Energy consumed for all GPUs : 0.000000 kWh. Total GPU Power : 0.0 W 
[codecarbon INFO @ 16:33:46] 0.012851 kWh of electricity and 0.000000 L of water were used since the beginning. </t>
  </si>
  <si>
    <t xml:space="preserve">Processing took: 938.5970835459993
[codecarbon INFO @ 16:55:17] Energy consumed for RAM : 0.005206 kWh. RAM Power : 20.0 W 
[codecarbon INFO @ 16:55:17] Delta energy consumed for CPU with constant : 0.000059 kWh, power : 32.5 W 
[codecarbon INFO @ 16:55:17] Energy consumed for All CPU : 0.008460 kWh 
[codecarbon INFO @ 16:55:17] Energy consumed for all GPUs : 0.000000 kWh. Total GPU Power : 0.0 W 
[codecarbon INFO @ 16:55:17] 0.013667 kWh of electricity and 0.000000 L of water were used since the beginning. </t>
  </si>
  <si>
    <t xml:space="preserve">Processing took: 1189.4505580820005
[codecarbon INFO @ 13:57:36] Energy consumed for RAM : 0.006600 kWh. RAM Power : 20.0 W 
[codecarbon INFO @ 13:57:36] Delta energy consumed for CPU with constant : 0.000019 kWh, power : 32.5 W 
[codecarbon INFO @ 13:57:36] Energy consumed for All CPU : 0.010726 kWh 
[codecarbon INFO @ 13:57:36] 0.017326 kWh of electricity and 0.000000 L of water were used since the beginning. </t>
  </si>
  <si>
    <t xml:space="preserve">Processing took: 1238.838573433999
[codecarbon INFO @ 14:19:22] Energy consumed for RAM : 0.006875 kWh. RAM Power : 20.0 W 
[codecarbon INFO @ 14:19:22] Delta energy consumed for CPU with constant : 0.000059 kWh, power : 32.5 W 
[codecarbon INFO @ 14:19:22] Energy consumed for All CPU : 0.011172 kWh 
[codecarbon INFO @ 14:19:22] 0.018046 kWh of electricity and 0.000000 L of water were used since the beginning. </t>
  </si>
  <si>
    <t xml:space="preserve">Processing took: 1223.2518086829987
[codecarbon INFO @ 17:30:31] Energy consumed for RAM : 0.006787 kWh. RAM Power : 20.0 W 
[codecarbon INFO @ 17:30:31] Delta energy consumed for CPU with constant : 0.000052 kWh, power : 32.5 W 
[codecarbon INFO @ 17:30:31] Energy consumed for All CPU : 0.011029 kWh 
[codecarbon INFO @ 17:30:31] 0.017816 kWh of electricity and 0.000000 L of water were used since the beginning. </t>
  </si>
  <si>
    <t xml:space="preserve">Processing took: 435.37313810699993
[codecarbon INFO @ 18:58:03] Energy consumed for RAM : 0.002410 kWh. RAM Power : 20.0 W 
[codecarbon INFO @ 18:58:03] Delta energy consumed for CPU with constant : 0.000122 kWh, power : 32.5 W 
[codecarbon INFO @ 18:58:03] Energy consumed for All CPU : 0.003916 kWh 
[codecarbon INFO @ 18:58:03] Energy consumed for all GPUs : 0.000000 kWh. Total GPU Power : 0.0 W 
[codecarbon INFO @ 18:58:03] 0.006326 kWh of electricity and 0.000000 L of water were used since the beginning. </t>
  </si>
  <si>
    <t xml:space="preserve">Processing took: 535.029471105
[codecarbon INFO @ 19:07:31] Energy consumed for RAM : 0.002963 kWh. RAM Power : 20.0 W 
[codecarbon INFO @ 19:07:31] Delta energy consumed for CPU with constant : 0.000072 kWh, power : 32.5 W 
[codecarbon INFO @ 19:07:31] Energy consumed for All CPU : 0.004815 kWh 
[codecarbon INFO @ 19:07:31] Energy consumed for all GPUs : 0.000000 kWh. Total GPU Power : 0.0 W 
[codecarbon INFO @ 19:07:31] 0.007778 kWh of electricity and 0.000000 L of water were used since the beginning. </t>
  </si>
  <si>
    <t xml:space="preserve">Processing took: 474.8004031360001
[codecarbon INFO @ 19:17:17] Energy consumed for RAM : 0.002629 kWh. RAM Power : 20.0 W 
[codecarbon INFO @ 19:17:17] Delta energy consumed for CPU with constant : 0.000071 kWh, power : 32.5 W 
[codecarbon INFO @ 19:17:17] Energy consumed for All CPU : 0.004272 kWh 
[codecarbon INFO @ 19:17:17] Energy consumed for all GPUs : 0.000000 kWh. Total GPU Power : 0.0 W 
[codecarbon INFO @ 19:17:17] 0.006900 kWh of electricity and 0.000000 L of water were used since the beginning. </t>
  </si>
  <si>
    <t xml:space="preserve">Processing took: 192.02568628299923
[codecarbon INFO @ 18:14:41] Energy consumed for RAM : 0.001055 kWh. RAM Power : 20.0 W 
[codecarbon INFO @ 18:14:41] Delta energy consumed for CPU with constant : 0.000090 kWh, power : 32.5 W 
[codecarbon INFO @ 18:14:41] Energy consumed for All CPU : 0.00 kWh 
[codecarbon INFO @ 18:14:41] Energy consumed for all GPUs : 0.000000 kWh. Total GPU Power : 0.0 W 
[codecarbon INFO @ 18:14:41] 0.002771 kWh of electricity and 0.000000 L of water were used since the beginning. </t>
  </si>
  <si>
    <t>Run-Time in Seconds (full, see 1st Tab)</t>
  </si>
  <si>
    <t>Custom-Wiki (10%)</t>
  </si>
  <si>
    <t>legalsum (10%)</t>
  </si>
  <si>
    <t>School Websites (10%)</t>
  </si>
  <si>
    <t>Processing took: 961.2001961909991
[codecarbon INFO @ 22:22:27] Energy consumed for RAM : 0.005332 kWh. RAM Power : 20.0 W
[codecarbon INFO @ 22:22:27] Delta energy consumed for CPU with constant : 0.000128 kWh, power : 32.5 W
[codecarbon INFO @ 22:22:27] Energy consumed for All CPU : 0.008665 kWh
[codecarbon INFO @ 22:22:27] Energy consumed for all GPUs : 0.000000 kWh. Total GPU Power : 0.0 W
[codecarbon INFO @ 22:22:27] 0.013997 kWh of electricity used since the beginning.</t>
  </si>
  <si>
    <t>Processing took: 339.32438441500017
[codecarbon INFO @ 21:55:42] Energy consumed for RAM : 0.001877 kWh. RAM Power : 20.0 W
[codecarbon INFO @ 21:55:42] Delta energy consumed for CPU with constant : 0.000070 kWh, power : 32.5 W
[codecarbon INFO @ 21:55:42] Energy consumed for All CPU : 0.003050 kWh
[codecarbon INFO @ 21:55:42] Energy consumed for all GPUs : 0.000000 kWh. Total GPU Power : 0.0 W
[codecarbon INFO @ 21:55:42] 0.004927 kWh of electricity used since the beginning.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</si>
</sst>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1" fillId="0" borderId="1" xfId="1"/>
    <xf numFmtId="0" fontId="1" fillId="0" borderId="1" xfId="1" applyFill="1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</cellXfs>
  <cellStyles count="2">
    <cellStyle name="Ergebnis" xfId="1" builtinId="2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EA777-CF04-4C7B-A34F-611A2B3B8ABF}">
  <dimension ref="A1:S146"/>
  <sheetViews>
    <sheetView workbookViewId="0"/>
  </sheetViews>
  <sheetFormatPr baseColWidth="10" defaultColWidth="9.140625" defaultRowHeight="15" x14ac:dyDescent="0.25"/>
  <cols>
    <col min="1" max="1" width="38.140625" bestFit="1" customWidth="1"/>
    <col min="2" max="2" width="8.140625" bestFit="1" customWidth="1"/>
    <col min="3" max="3" width="15.140625" bestFit="1" customWidth="1"/>
    <col min="4" max="4" width="10.140625" bestFit="1" customWidth="1"/>
    <col min="5" max="5" width="7.28515625" bestFit="1" customWidth="1"/>
    <col min="6" max="6" width="9.140625" bestFit="1" customWidth="1"/>
    <col min="7" max="7" width="22.85546875" bestFit="1" customWidth="1"/>
    <col min="8" max="8" width="22.28515625" bestFit="1" customWidth="1"/>
    <col min="9" max="9" width="33.140625" bestFit="1" customWidth="1"/>
    <col min="10" max="10" width="18.28515625" bestFit="1" customWidth="1"/>
    <col min="11" max="11" width="16.85546875" bestFit="1" customWidth="1"/>
    <col min="12" max="12" width="16.28515625" bestFit="1" customWidth="1"/>
    <col min="13" max="13" width="13.85546875" bestFit="1" customWidth="1"/>
    <col min="14" max="14" width="16.42578125" bestFit="1" customWidth="1"/>
    <col min="15" max="15" width="14" bestFit="1" customWidth="1"/>
    <col min="16" max="16" width="16.42578125" bestFit="1" customWidth="1"/>
    <col min="17" max="17" width="14" bestFit="1" customWidth="1"/>
    <col min="19" max="19" width="255.7109375" bestFit="1" customWidth="1"/>
  </cols>
  <sheetData>
    <row r="1" spans="1:19" s="1" customFormat="1" ht="1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thickTop="1" x14ac:dyDescent="0.25">
      <c r="A2" t="s">
        <v>19</v>
      </c>
      <c r="B2" t="s">
        <v>20</v>
      </c>
      <c r="C2" t="s">
        <v>21</v>
      </c>
      <c r="D2" s="3">
        <v>45915</v>
      </c>
      <c r="E2" t="s">
        <v>22</v>
      </c>
      <c r="F2" t="s">
        <v>23</v>
      </c>
      <c r="G2" t="str">
        <f>"/code/"&amp;"NLG-"&amp;E2&amp;"/markov"</f>
        <v>/code/NLG-S1/markov</v>
      </c>
      <c r="H2" t="s">
        <v>24</v>
      </c>
      <c r="I2" t="str">
        <f>"/output/"&amp;B2&amp;"/"&amp;C2&amp;"/"&amp;F2</f>
        <v>/output/NLG/S1/Markov/CPU</v>
      </c>
      <c r="J2">
        <v>4984.2015293429904</v>
      </c>
      <c r="K2">
        <v>2.7406E-2</v>
      </c>
      <c r="L2">
        <v>1.9377999999999999E-2</v>
      </c>
      <c r="M2">
        <v>14</v>
      </c>
      <c r="N2" t="s">
        <v>25</v>
      </c>
      <c r="O2" t="s">
        <v>25</v>
      </c>
      <c r="P2">
        <v>8.0280000000000004E-3</v>
      </c>
      <c r="Q2">
        <v>5.8044347763061497</v>
      </c>
      <c r="R2" s="4" t="s">
        <v>26</v>
      </c>
      <c r="S2" t="s">
        <v>27</v>
      </c>
    </row>
    <row r="3" spans="1:19" ht="15" customHeight="1" x14ac:dyDescent="0.25">
      <c r="A3" t="s">
        <v>19</v>
      </c>
      <c r="B3" t="s">
        <v>20</v>
      </c>
      <c r="C3" t="s">
        <v>28</v>
      </c>
      <c r="D3" s="3">
        <v>45915</v>
      </c>
      <c r="E3" t="s">
        <v>22</v>
      </c>
      <c r="F3" t="s">
        <v>23</v>
      </c>
      <c r="G3" t="str">
        <f>"/code/"&amp;"NLG-"&amp;E3&amp;"/markov"</f>
        <v>/code/NLG-S1/markov</v>
      </c>
      <c r="H3" t="s">
        <v>24</v>
      </c>
      <c r="I3" t="str">
        <f t="shared" ref="I3:I65" si="0">"/output/"&amp;B3&amp;"/"&amp;C3&amp;"/"&amp;F3</f>
        <v>/output/NLG/S1/Markov-OneWord/CPU</v>
      </c>
      <c r="J3">
        <v>2263.8543004580001</v>
      </c>
      <c r="K3">
        <v>1.2447E-2</v>
      </c>
      <c r="L3">
        <v>8.8009999999999998E-3</v>
      </c>
      <c r="M3">
        <v>14</v>
      </c>
      <c r="N3" t="s">
        <v>25</v>
      </c>
      <c r="O3" t="s">
        <v>25</v>
      </c>
      <c r="P3">
        <v>3.6449999999999998E-3</v>
      </c>
      <c r="Q3">
        <v>5.8044347763061497</v>
      </c>
      <c r="R3" s="4" t="s">
        <v>29</v>
      </c>
      <c r="S3" t="s">
        <v>30</v>
      </c>
    </row>
    <row r="4" spans="1:19" ht="15" customHeight="1" x14ac:dyDescent="0.25">
      <c r="A4" t="s">
        <v>19</v>
      </c>
      <c r="B4" t="s">
        <v>20</v>
      </c>
      <c r="C4" t="s">
        <v>31</v>
      </c>
      <c r="D4" s="3">
        <v>45922</v>
      </c>
      <c r="E4" t="s">
        <v>22</v>
      </c>
      <c r="F4" t="s">
        <v>23</v>
      </c>
      <c r="G4" t="str">
        <f>"/code/"&amp;"NLG-"&amp;E4&amp;"/lstm"</f>
        <v>/code/NLG-S1/lstm</v>
      </c>
      <c r="H4" t="s">
        <v>24</v>
      </c>
      <c r="I4" t="str">
        <f t="shared" si="0"/>
        <v>/output/NLG/S1/LSTM/CPU</v>
      </c>
      <c r="J4">
        <v>157303.75823425999</v>
      </c>
      <c r="K4">
        <v>1.0486489999999999</v>
      </c>
      <c r="L4">
        <v>1.5999999999999999E-5</v>
      </c>
      <c r="M4">
        <v>14</v>
      </c>
      <c r="N4" t="s">
        <v>25</v>
      </c>
      <c r="O4" t="s">
        <v>25</v>
      </c>
      <c r="P4">
        <v>0.43692799999999998</v>
      </c>
      <c r="Q4">
        <v>10</v>
      </c>
      <c r="R4" s="4" t="s">
        <v>32</v>
      </c>
      <c r="S4" t="s">
        <v>33</v>
      </c>
    </row>
    <row r="5" spans="1:19" ht="15" customHeight="1" x14ac:dyDescent="0.25">
      <c r="A5" t="s">
        <v>19</v>
      </c>
      <c r="B5" t="s">
        <v>20</v>
      </c>
      <c r="C5" t="s">
        <v>34</v>
      </c>
      <c r="D5" s="3">
        <v>45915</v>
      </c>
      <c r="E5" t="s">
        <v>22</v>
      </c>
      <c r="F5" t="s">
        <v>23</v>
      </c>
      <c r="G5" t="str">
        <f>"/code/"&amp;"NLG-"&amp;E5&amp;"/gpt"</f>
        <v>/code/NLG-S1/gpt</v>
      </c>
      <c r="H5" t="s">
        <v>24</v>
      </c>
      <c r="I5" t="str">
        <f t="shared" si="0"/>
        <v>/output/NLG/S1/GPT-2/CPU</v>
      </c>
      <c r="J5">
        <v>15827.897751050001</v>
      </c>
      <c r="K5">
        <v>8.7064000000000002E-2</v>
      </c>
      <c r="L5">
        <v>6.1547999999999999E-2</v>
      </c>
      <c r="M5">
        <v>14</v>
      </c>
      <c r="N5" t="s">
        <v>25</v>
      </c>
      <c r="O5" t="s">
        <v>25</v>
      </c>
      <c r="P5">
        <v>2.5516E-2</v>
      </c>
      <c r="Q5">
        <v>5.8044347763061497</v>
      </c>
      <c r="R5" s="4" t="s">
        <v>35</v>
      </c>
      <c r="S5" t="s">
        <v>36</v>
      </c>
    </row>
    <row r="6" spans="1:19" ht="15" customHeight="1" x14ac:dyDescent="0.25">
      <c r="A6" t="s">
        <v>19</v>
      </c>
      <c r="B6" t="s">
        <v>20</v>
      </c>
      <c r="C6" t="s">
        <v>37</v>
      </c>
      <c r="D6" s="3">
        <v>45917</v>
      </c>
      <c r="E6" t="s">
        <v>22</v>
      </c>
      <c r="F6" t="s">
        <v>23</v>
      </c>
      <c r="G6" t="str">
        <f>"/code/"&amp;"NLG-"&amp;E6&amp;"/gptfine"</f>
        <v>/code/NLG-S1/gptfine</v>
      </c>
      <c r="H6" t="s">
        <v>24</v>
      </c>
      <c r="I6" t="str">
        <f t="shared" si="0"/>
        <v>/output/NLG/S1/GPT-2-Finetuned/CPU</v>
      </c>
      <c r="J6">
        <v>17448.705827144</v>
      </c>
      <c r="K6">
        <v>9.5980999999999997E-2</v>
      </c>
      <c r="L6">
        <v>6.7850999999999995E-2</v>
      </c>
      <c r="M6">
        <v>14</v>
      </c>
      <c r="N6" t="s">
        <v>25</v>
      </c>
      <c r="O6" t="s">
        <v>25</v>
      </c>
      <c r="P6">
        <v>2.8129999999999999E-2</v>
      </c>
      <c r="Q6">
        <v>5.8044347763061497</v>
      </c>
      <c r="R6" s="4" t="s">
        <v>38</v>
      </c>
      <c r="S6" t="s">
        <v>39</v>
      </c>
    </row>
    <row r="8" spans="1:19" ht="15" customHeight="1" x14ac:dyDescent="0.25">
      <c r="A8" t="s">
        <v>19</v>
      </c>
      <c r="B8" t="s">
        <v>40</v>
      </c>
      <c r="C8" t="s">
        <v>21</v>
      </c>
      <c r="D8" s="3">
        <v>45923</v>
      </c>
      <c r="E8" t="s">
        <v>41</v>
      </c>
      <c r="F8" t="s">
        <v>23</v>
      </c>
      <c r="G8" t="str">
        <f>"/code/"&amp;"NLG-"&amp;E8&amp;"/markov"</f>
        <v>/code/NLG-S2/markov</v>
      </c>
      <c r="H8" t="s">
        <v>24</v>
      </c>
      <c r="I8" t="str">
        <f t="shared" si="0"/>
        <v>/output/NLG/S2/Markov/CPU</v>
      </c>
      <c r="J8">
        <v>4567.2609024040003</v>
      </c>
      <c r="K8">
        <v>5.6078999999999997E-2</v>
      </c>
      <c r="L8">
        <v>4.1223999999999997E-2</v>
      </c>
      <c r="M8">
        <v>32.5</v>
      </c>
      <c r="N8" t="s">
        <v>25</v>
      </c>
      <c r="O8" t="s">
        <v>25</v>
      </c>
      <c r="P8">
        <v>1.4855999999999999E-2</v>
      </c>
      <c r="Q8">
        <v>11.721682548522899</v>
      </c>
      <c r="R8" s="4" t="s">
        <v>42</v>
      </c>
      <c r="S8" t="s">
        <v>43</v>
      </c>
    </row>
    <row r="9" spans="1:19" ht="15" customHeight="1" x14ac:dyDescent="0.25">
      <c r="A9" t="s">
        <v>19</v>
      </c>
      <c r="B9" t="s">
        <v>40</v>
      </c>
      <c r="C9" t="s">
        <v>28</v>
      </c>
      <c r="D9" s="3">
        <v>45923</v>
      </c>
      <c r="E9" t="s">
        <v>41</v>
      </c>
      <c r="F9" t="s">
        <v>23</v>
      </c>
      <c r="G9" t="str">
        <f>"/code/"&amp;"NLG-"&amp;E9&amp;"/markov"</f>
        <v>/code/NLG-S2/markov</v>
      </c>
      <c r="H9" t="s">
        <v>24</v>
      </c>
      <c r="I9" t="str">
        <f t="shared" si="0"/>
        <v>/output/NLG/S2/Markov-OneWord/CPU</v>
      </c>
      <c r="J9">
        <v>1977.0896353989999</v>
      </c>
      <c r="K9">
        <v>2.4274E-2</v>
      </c>
      <c r="L9">
        <v>1.7843999999999999E-2</v>
      </c>
      <c r="M9">
        <v>32.5</v>
      </c>
      <c r="N9" t="s">
        <v>25</v>
      </c>
      <c r="O9" t="s">
        <v>25</v>
      </c>
      <c r="P9">
        <v>6.43E-3</v>
      </c>
      <c r="Q9">
        <v>11.721682548522899</v>
      </c>
      <c r="R9" s="4" t="s">
        <v>44</v>
      </c>
      <c r="S9" t="s">
        <v>45</v>
      </c>
    </row>
    <row r="10" spans="1:19" ht="15" customHeight="1" x14ac:dyDescent="0.25">
      <c r="A10" t="s">
        <v>19</v>
      </c>
      <c r="B10" t="s">
        <v>40</v>
      </c>
      <c r="C10" t="s">
        <v>31</v>
      </c>
      <c r="D10" s="3">
        <v>45973</v>
      </c>
      <c r="E10" t="s">
        <v>41</v>
      </c>
      <c r="F10" t="s">
        <v>23</v>
      </c>
      <c r="G10" t="str">
        <f>"/code/"&amp;"NLG-"&amp;E10&amp;"/lstm"</f>
        <v>/code/NLG-S2/lstm</v>
      </c>
      <c r="H10" t="s">
        <v>24</v>
      </c>
      <c r="I10" t="str">
        <f t="shared" si="0"/>
        <v>/output/NLG/S2/LSTM/CPU</v>
      </c>
      <c r="J10">
        <v>237867.69753862199</v>
      </c>
      <c r="K10">
        <v>3.468766</v>
      </c>
      <c r="L10">
        <v>2.1473589999999998</v>
      </c>
      <c r="M10">
        <v>32.5</v>
      </c>
      <c r="N10" t="s">
        <v>25</v>
      </c>
      <c r="O10" t="s">
        <v>25</v>
      </c>
      <c r="P10">
        <v>1.321407</v>
      </c>
      <c r="Q10">
        <v>20</v>
      </c>
      <c r="R10" s="4" t="s">
        <v>46</v>
      </c>
      <c r="S10" t="s">
        <v>47</v>
      </c>
    </row>
    <row r="11" spans="1:19" ht="15" customHeight="1" x14ac:dyDescent="0.25">
      <c r="A11" t="s">
        <v>19</v>
      </c>
      <c r="B11" t="s">
        <v>40</v>
      </c>
      <c r="C11" t="s">
        <v>31</v>
      </c>
      <c r="D11" s="3" t="s">
        <v>25</v>
      </c>
      <c r="E11" t="s">
        <v>41</v>
      </c>
      <c r="F11" t="s">
        <v>48</v>
      </c>
      <c r="G11" t="s">
        <v>25</v>
      </c>
      <c r="H11" t="s">
        <v>25</v>
      </c>
      <c r="I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</row>
    <row r="12" spans="1:19" ht="15" customHeight="1" x14ac:dyDescent="0.25">
      <c r="A12" t="s">
        <v>19</v>
      </c>
      <c r="B12" t="s">
        <v>40</v>
      </c>
      <c r="C12" t="s">
        <v>34</v>
      </c>
      <c r="D12" s="3">
        <v>45923</v>
      </c>
      <c r="E12" t="s">
        <v>41</v>
      </c>
      <c r="F12" t="s">
        <v>23</v>
      </c>
      <c r="G12" t="str">
        <f>"/code/"&amp;"NLG-"&amp;E12&amp;"/gpt"</f>
        <v>/code/NLG-S2/gpt</v>
      </c>
      <c r="H12" t="s">
        <v>24</v>
      </c>
      <c r="I12" t="str">
        <f t="shared" si="0"/>
        <v>/output/NLG/S2/GPT-2/CPU</v>
      </c>
      <c r="J12">
        <v>16105.576718984999</v>
      </c>
      <c r="K12">
        <v>0.197824</v>
      </c>
      <c r="L12">
        <v>0.14538899999999999</v>
      </c>
      <c r="M12">
        <v>32.5</v>
      </c>
      <c r="N12" t="s">
        <v>25</v>
      </c>
      <c r="O12" t="s">
        <v>25</v>
      </c>
      <c r="P12">
        <v>5.2435000000000002E-2</v>
      </c>
      <c r="Q12">
        <v>11.721682548522899</v>
      </c>
      <c r="R12" s="4" t="s">
        <v>49</v>
      </c>
      <c r="S12" t="s">
        <v>50</v>
      </c>
    </row>
    <row r="13" spans="1:19" ht="15" customHeight="1" x14ac:dyDescent="0.25">
      <c r="A13" t="s">
        <v>19</v>
      </c>
      <c r="B13" t="s">
        <v>40</v>
      </c>
      <c r="C13" t="s">
        <v>34</v>
      </c>
      <c r="D13" s="3" t="s">
        <v>25</v>
      </c>
      <c r="E13" t="s">
        <v>41</v>
      </c>
      <c r="F13" t="s">
        <v>48</v>
      </c>
      <c r="G13" t="s">
        <v>25</v>
      </c>
      <c r="H13" t="s">
        <v>25</v>
      </c>
      <c r="I13" t="str">
        <f t="shared" si="0"/>
        <v>/output/NLG/S2/GPT-2/GPU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</row>
    <row r="14" spans="1:19" ht="15" customHeight="1" x14ac:dyDescent="0.25">
      <c r="A14" t="s">
        <v>19</v>
      </c>
      <c r="B14" t="s">
        <v>40</v>
      </c>
      <c r="C14" t="s">
        <v>37</v>
      </c>
      <c r="D14" s="3">
        <v>45974</v>
      </c>
      <c r="E14" t="s">
        <v>41</v>
      </c>
      <c r="F14" t="s">
        <v>23</v>
      </c>
      <c r="G14" t="str">
        <f>"/code/"&amp;"NLG-"&amp;E14&amp;"/gptfine"</f>
        <v>/code/NLG-S2/gptfine</v>
      </c>
      <c r="H14" t="s">
        <v>24</v>
      </c>
      <c r="I14" t="s">
        <v>25</v>
      </c>
      <c r="J14">
        <v>20598.329889625002</v>
      </c>
      <c r="K14">
        <v>0.25300899999999998</v>
      </c>
      <c r="L14">
        <v>0.185946</v>
      </c>
      <c r="M14">
        <v>32.5</v>
      </c>
      <c r="N14" t="s">
        <v>25</v>
      </c>
      <c r="O14" t="s">
        <v>25</v>
      </c>
      <c r="P14">
        <v>6.7061999999999997E-2</v>
      </c>
      <c r="Q14">
        <v>11.721682548522899</v>
      </c>
      <c r="R14" s="4" t="s">
        <v>51</v>
      </c>
      <c r="S14" t="s">
        <v>52</v>
      </c>
    </row>
    <row r="15" spans="1:19" ht="15" customHeight="1" x14ac:dyDescent="0.25">
      <c r="A15" t="s">
        <v>19</v>
      </c>
      <c r="B15" t="s">
        <v>40</v>
      </c>
      <c r="C15" t="s">
        <v>37</v>
      </c>
      <c r="D15" s="3" t="s">
        <v>25</v>
      </c>
      <c r="E15" t="s">
        <v>41</v>
      </c>
      <c r="F15" t="s">
        <v>48</v>
      </c>
      <c r="G15" t="s">
        <v>25</v>
      </c>
      <c r="H15" t="s">
        <v>25</v>
      </c>
      <c r="I15" t="str">
        <f t="shared" si="0"/>
        <v>/output/NLG/S2/GPT-2-Finetuned/GPU</v>
      </c>
      <c r="J15" t="s">
        <v>25</v>
      </c>
      <c r="K15" t="s">
        <v>25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25</v>
      </c>
    </row>
    <row r="17" spans="1:19" ht="15" customHeight="1" x14ac:dyDescent="0.25">
      <c r="A17" t="s">
        <v>19</v>
      </c>
      <c r="B17" t="s">
        <v>53</v>
      </c>
      <c r="C17" t="s">
        <v>21</v>
      </c>
      <c r="D17" s="3">
        <v>45917</v>
      </c>
      <c r="E17" t="s">
        <v>54</v>
      </c>
      <c r="F17" t="s">
        <v>23</v>
      </c>
      <c r="G17" t="str">
        <f>"/code/"&amp;"NLG-"&amp;E17&amp;"/markov"</f>
        <v>/code/NLG-S3/markov</v>
      </c>
      <c r="H17" t="s">
        <v>24</v>
      </c>
      <c r="I17" t="str">
        <f t="shared" si="0"/>
        <v>/output/NLG/S3/Markov/CPU</v>
      </c>
      <c r="J17">
        <v>3355.0496870289899</v>
      </c>
      <c r="K17">
        <v>5.0349999999999999E-2</v>
      </c>
      <c r="L17">
        <v>3.9583E-2</v>
      </c>
      <c r="M17">
        <v>42.5</v>
      </c>
      <c r="N17" t="s">
        <v>25</v>
      </c>
      <c r="O17" t="s">
        <v>25</v>
      </c>
      <c r="P17">
        <v>1.0767000000000001E-2</v>
      </c>
      <c r="Q17">
        <v>11.589908123016301</v>
      </c>
      <c r="R17" s="4" t="s">
        <v>55</v>
      </c>
      <c r="S17" t="s">
        <v>56</v>
      </c>
    </row>
    <row r="18" spans="1:19" ht="15" customHeight="1" x14ac:dyDescent="0.25">
      <c r="A18" t="s">
        <v>19</v>
      </c>
      <c r="B18" t="s">
        <v>53</v>
      </c>
      <c r="C18" t="s">
        <v>28</v>
      </c>
      <c r="D18" s="3">
        <v>45917</v>
      </c>
      <c r="E18" t="s">
        <v>54</v>
      </c>
      <c r="F18" t="s">
        <v>23</v>
      </c>
      <c r="G18" t="str">
        <f>"/code/"&amp;"NLG-"&amp;E18&amp;"/markov"</f>
        <v>/code/NLG-S3/markov</v>
      </c>
      <c r="H18" t="s">
        <v>24</v>
      </c>
      <c r="I18" t="str">
        <f t="shared" si="0"/>
        <v>/output/NLG/S3/Markov-OneWord/CPU</v>
      </c>
      <c r="J18">
        <v>1471.79927902999</v>
      </c>
      <c r="K18">
        <v>2.2086999999999999E-2</v>
      </c>
      <c r="L18">
        <v>1.7361999999999999E-2</v>
      </c>
      <c r="M18">
        <v>42.5</v>
      </c>
      <c r="N18" t="s">
        <v>25</v>
      </c>
      <c r="O18" t="s">
        <v>25</v>
      </c>
      <c r="P18">
        <v>4.7260000000000002E-3</v>
      </c>
      <c r="Q18">
        <v>11.589908123016301</v>
      </c>
      <c r="R18" s="4" t="s">
        <v>57</v>
      </c>
      <c r="S18" t="s">
        <v>58</v>
      </c>
    </row>
    <row r="19" spans="1:19" ht="15" customHeight="1" x14ac:dyDescent="0.25">
      <c r="A19" t="s">
        <v>19</v>
      </c>
      <c r="B19" t="s">
        <v>53</v>
      </c>
      <c r="C19" t="s">
        <v>31</v>
      </c>
      <c r="D19" s="3">
        <v>45921</v>
      </c>
      <c r="E19" t="s">
        <v>54</v>
      </c>
      <c r="F19" t="s">
        <v>23</v>
      </c>
      <c r="G19" t="str">
        <f>"/code/"&amp;"NLG-"&amp;E19&amp;"/lstm"</f>
        <v>/code/NLG-S3/lstm</v>
      </c>
      <c r="H19" t="s">
        <v>24</v>
      </c>
      <c r="I19" t="str">
        <f t="shared" si="0"/>
        <v>/output/NLG/S3/LSTM/CPU</v>
      </c>
      <c r="J19">
        <v>85003.844494347999</v>
      </c>
      <c r="K19">
        <v>0.76738099999999998</v>
      </c>
      <c r="L19">
        <v>0.76738099999999998</v>
      </c>
      <c r="M19">
        <v>32.5</v>
      </c>
      <c r="N19" t="s">
        <v>25</v>
      </c>
      <c r="O19" t="s">
        <v>25</v>
      </c>
      <c r="P19">
        <v>0.472221</v>
      </c>
      <c r="Q19">
        <v>20</v>
      </c>
      <c r="R19" s="4" t="s">
        <v>59</v>
      </c>
      <c r="S19" t="s">
        <v>60</v>
      </c>
    </row>
    <row r="20" spans="1:19" ht="15" customHeight="1" x14ac:dyDescent="0.25">
      <c r="A20" t="s">
        <v>19</v>
      </c>
      <c r="B20" t="s">
        <v>53</v>
      </c>
      <c r="C20" t="s">
        <v>31</v>
      </c>
      <c r="D20" s="3">
        <v>45920</v>
      </c>
      <c r="E20" t="s">
        <v>54</v>
      </c>
      <c r="F20" t="s">
        <v>48</v>
      </c>
      <c r="G20" t="str">
        <f>"/code/"&amp;"NLG-"&amp;E20&amp;"/lstm_gpu"</f>
        <v>/code/NLG-S3/lstm_gpu</v>
      </c>
      <c r="H20" t="s">
        <v>24</v>
      </c>
      <c r="I20" t="str">
        <f t="shared" si="0"/>
        <v>/output/NLG/S3/LSTM/GPU</v>
      </c>
      <c r="J20">
        <v>85590.618849530001</v>
      </c>
      <c r="K20">
        <v>1.44946</v>
      </c>
      <c r="L20">
        <v>0.77257399999999998</v>
      </c>
      <c r="M20">
        <v>32.5</v>
      </c>
      <c r="N20">
        <v>0.20147000000000001</v>
      </c>
      <c r="O20">
        <v>7.7213422413646899</v>
      </c>
      <c r="P20">
        <v>0.47541699999999998</v>
      </c>
      <c r="Q20">
        <v>20</v>
      </c>
      <c r="R20" s="4" t="s">
        <v>61</v>
      </c>
      <c r="S20" t="s">
        <v>62</v>
      </c>
    </row>
    <row r="21" spans="1:19" ht="15" customHeight="1" x14ac:dyDescent="0.25">
      <c r="A21" t="s">
        <v>19</v>
      </c>
      <c r="B21" t="s">
        <v>53</v>
      </c>
      <c r="C21" t="s">
        <v>34</v>
      </c>
      <c r="D21" s="3">
        <v>45917</v>
      </c>
      <c r="E21" t="s">
        <v>54</v>
      </c>
      <c r="F21" t="s">
        <v>23</v>
      </c>
      <c r="G21" t="str">
        <f>"/code/"&amp;"NLG-"&amp;E21&amp;"/gpt"</f>
        <v>/code/NLG-S3/gpt</v>
      </c>
      <c r="H21" t="s">
        <v>24</v>
      </c>
      <c r="I21" t="str">
        <f t="shared" si="0"/>
        <v>/output/NLG/S3/GPT-2/CPU</v>
      </c>
      <c r="J21">
        <v>16068.0954078259</v>
      </c>
      <c r="K21">
        <v>0.24140200000000001</v>
      </c>
      <c r="L21">
        <v>0.18967800000000001</v>
      </c>
      <c r="M21">
        <v>42.5</v>
      </c>
      <c r="N21" t="s">
        <v>25</v>
      </c>
      <c r="O21" t="s">
        <v>25</v>
      </c>
      <c r="P21">
        <v>5.1723999999999999E-2</v>
      </c>
      <c r="Q21">
        <v>11.589908123016301</v>
      </c>
      <c r="R21" s="4" t="s">
        <v>63</v>
      </c>
      <c r="S21" t="s">
        <v>64</v>
      </c>
    </row>
    <row r="22" spans="1:19" ht="15" customHeight="1" x14ac:dyDescent="0.25">
      <c r="A22" t="s">
        <v>19</v>
      </c>
      <c r="B22" t="s">
        <v>53</v>
      </c>
      <c r="C22" t="s">
        <v>34</v>
      </c>
      <c r="D22" s="3">
        <v>45919</v>
      </c>
      <c r="E22" t="s">
        <v>54</v>
      </c>
      <c r="F22" t="s">
        <v>48</v>
      </c>
      <c r="G22" t="str">
        <f>"/code/"&amp;"NLG-"&amp;E22&amp;"/gpt"</f>
        <v>/code/NLG-S3/gpt</v>
      </c>
      <c r="H22" t="s">
        <v>24</v>
      </c>
      <c r="I22" t="str">
        <f t="shared" si="0"/>
        <v>/output/NLG/S3/GPT-2/GPU</v>
      </c>
      <c r="J22">
        <v>3627.2578113589898</v>
      </c>
      <c r="K22">
        <v>0.122822</v>
      </c>
      <c r="L22">
        <v>3.2744000000000002E-2</v>
      </c>
      <c r="M22">
        <v>32.5</v>
      </c>
      <c r="N22">
        <v>6.9928000000000004E-2</v>
      </c>
      <c r="O22">
        <v>68.783574657543895</v>
      </c>
      <c r="P22">
        <v>2.0150000000000001E-2</v>
      </c>
      <c r="Q22">
        <v>20</v>
      </c>
      <c r="R22" s="4" t="s">
        <v>65</v>
      </c>
      <c r="S22" t="s">
        <v>66</v>
      </c>
    </row>
    <row r="23" spans="1:19" ht="15" customHeight="1" x14ac:dyDescent="0.25">
      <c r="A23" t="s">
        <v>19</v>
      </c>
      <c r="B23" t="s">
        <v>53</v>
      </c>
      <c r="C23" t="s">
        <v>37</v>
      </c>
      <c r="D23" s="3">
        <v>45920</v>
      </c>
      <c r="E23" t="s">
        <v>54</v>
      </c>
      <c r="F23" t="s">
        <v>23</v>
      </c>
      <c r="G23" t="str">
        <f>"/code/"&amp;"NLG-"&amp;E23&amp;"/gptfine"</f>
        <v>/code/NLG-S3/gptfine</v>
      </c>
      <c r="H23" t="s">
        <v>24</v>
      </c>
      <c r="I23" t="str">
        <f t="shared" si="0"/>
        <v>/output/NLG/S3/GPT-2-Finetuned/CPU</v>
      </c>
      <c r="J23">
        <v>15579.4333740969</v>
      </c>
      <c r="K23">
        <v>0.23405999999999999</v>
      </c>
      <c r="L23">
        <v>0.18390899999999999</v>
      </c>
      <c r="M23">
        <v>42.5</v>
      </c>
      <c r="N23" t="s">
        <v>25</v>
      </c>
      <c r="O23" t="s">
        <v>25</v>
      </c>
      <c r="P23">
        <v>5.0151000000000001E-2</v>
      </c>
      <c r="Q23">
        <v>11.5899095535278</v>
      </c>
      <c r="R23" s="4" t="s">
        <v>67</v>
      </c>
      <c r="S23" t="s">
        <v>68</v>
      </c>
    </row>
    <row r="24" spans="1:19" ht="15" customHeight="1" x14ac:dyDescent="0.25">
      <c r="A24" t="s">
        <v>19</v>
      </c>
      <c r="B24" t="s">
        <v>53</v>
      </c>
      <c r="C24" t="s">
        <v>37</v>
      </c>
      <c r="D24" s="3">
        <v>45918</v>
      </c>
      <c r="E24" t="s">
        <v>54</v>
      </c>
      <c r="F24" t="s">
        <v>48</v>
      </c>
      <c r="G24" t="str">
        <f>"/code/"&amp;"NLG-"&amp;E24&amp;"/gptfine"</f>
        <v>/code/NLG-S3/gptfine</v>
      </c>
      <c r="H24" t="s">
        <v>24</v>
      </c>
      <c r="I24" t="str">
        <f t="shared" si="0"/>
        <v>/output/NLG/S3/GPT-2-Finetuned/GPU</v>
      </c>
      <c r="J24">
        <v>5349.3007802120001</v>
      </c>
      <c r="K24">
        <v>0.14697099999999999</v>
      </c>
      <c r="L24">
        <v>4.8204999999999998E-2</v>
      </c>
      <c r="M24">
        <v>32.5</v>
      </c>
      <c r="N24">
        <v>6.9125000000000006E-2</v>
      </c>
      <c r="O24">
        <v>60.9198074964198</v>
      </c>
      <c r="P24">
        <v>2.964E-2</v>
      </c>
      <c r="Q24">
        <v>20</v>
      </c>
      <c r="R24" s="4" t="s">
        <v>69</v>
      </c>
      <c r="S24" t="s">
        <v>70</v>
      </c>
    </row>
    <row r="27" spans="1:19" ht="15" customHeight="1" x14ac:dyDescent="0.25">
      <c r="A27" t="s">
        <v>71</v>
      </c>
      <c r="B27" t="s">
        <v>72</v>
      </c>
      <c r="C27" t="s">
        <v>73</v>
      </c>
      <c r="D27" s="3">
        <v>45925</v>
      </c>
      <c r="E27" t="s">
        <v>22</v>
      </c>
      <c r="F27" t="s">
        <v>23</v>
      </c>
      <c r="G27" t="str">
        <f>"/code/"&amp;"TS1-"&amp;E27</f>
        <v>/code/TS1-S1</v>
      </c>
      <c r="H27" t="s">
        <v>74</v>
      </c>
      <c r="I27" t="str">
        <f t="shared" si="0"/>
        <v>/output/TS1/S1/LexRank/CPU</v>
      </c>
      <c r="J27">
        <v>564.13770877399998</v>
      </c>
      <c r="K27">
        <v>3.7590000000000002E-3</v>
      </c>
      <c r="L27">
        <v>2.1930000000000001E-3</v>
      </c>
      <c r="M27">
        <v>14</v>
      </c>
      <c r="N27" t="s">
        <v>25</v>
      </c>
      <c r="O27" t="s">
        <v>25</v>
      </c>
      <c r="P27">
        <v>1.5659999999999999E-3</v>
      </c>
      <c r="Q27">
        <v>10</v>
      </c>
      <c r="R27" s="4" t="s">
        <v>75</v>
      </c>
      <c r="S27" t="s">
        <v>76</v>
      </c>
    </row>
    <row r="28" spans="1:19" ht="15" customHeight="1" x14ac:dyDescent="0.25">
      <c r="A28" t="s">
        <v>71</v>
      </c>
      <c r="B28" t="s">
        <v>72</v>
      </c>
      <c r="C28" t="s">
        <v>77</v>
      </c>
      <c r="D28" s="3">
        <v>45925</v>
      </c>
      <c r="E28" t="s">
        <v>22</v>
      </c>
      <c r="F28" t="s">
        <v>23</v>
      </c>
      <c r="G28" t="str">
        <f t="shared" ref="G28:G54" si="1">"/code/"&amp;"TS1-"&amp;E28</f>
        <v>/code/TS1-S1</v>
      </c>
      <c r="H28" t="s">
        <v>74</v>
      </c>
      <c r="I28" t="str">
        <f t="shared" si="0"/>
        <v>/output/TS1/S1/TextRank/CPU</v>
      </c>
      <c r="J28">
        <v>484.04559379800003</v>
      </c>
      <c r="K28">
        <v>3.225E-3</v>
      </c>
      <c r="L28">
        <v>1.882E-3</v>
      </c>
      <c r="M28">
        <v>14</v>
      </c>
      <c r="N28" t="s">
        <v>25</v>
      </c>
      <c r="O28" t="s">
        <v>25</v>
      </c>
      <c r="P28">
        <v>1.343E-3</v>
      </c>
      <c r="Q28">
        <v>10</v>
      </c>
      <c r="R28" s="4" t="s">
        <v>78</v>
      </c>
      <c r="S28" t="s">
        <v>79</v>
      </c>
    </row>
    <row r="29" spans="1:19" ht="15" customHeight="1" x14ac:dyDescent="0.25">
      <c r="A29" t="s">
        <v>71</v>
      </c>
      <c r="B29" t="s">
        <v>72</v>
      </c>
      <c r="C29" t="s">
        <v>80</v>
      </c>
      <c r="D29" s="3">
        <v>45924</v>
      </c>
      <c r="E29" t="s">
        <v>22</v>
      </c>
      <c r="F29" t="s">
        <v>23</v>
      </c>
      <c r="G29" t="str">
        <f t="shared" si="1"/>
        <v>/code/TS1-S1</v>
      </c>
      <c r="H29" t="s">
        <v>74</v>
      </c>
      <c r="I29" t="str">
        <f t="shared" si="0"/>
        <v>/output/TS1/S1/T5/CPU</v>
      </c>
      <c r="J29">
        <v>7079.7220896150002</v>
      </c>
      <c r="K29">
        <v>4.7199063756658798E-2</v>
      </c>
      <c r="L29">
        <v>2.7533068648489398E-2</v>
      </c>
      <c r="M29">
        <v>14</v>
      </c>
      <c r="N29" t="s">
        <v>25</v>
      </c>
      <c r="O29" t="s">
        <v>25</v>
      </c>
      <c r="P29">
        <v>1.9665995108169399E-2</v>
      </c>
      <c r="Q29">
        <v>10</v>
      </c>
      <c r="R29" s="4" t="s">
        <v>81</v>
      </c>
      <c r="S29" t="s">
        <v>82</v>
      </c>
    </row>
    <row r="30" spans="1:19" ht="15" customHeight="1" x14ac:dyDescent="0.25">
      <c r="A30" t="s">
        <v>71</v>
      </c>
      <c r="B30" t="s">
        <v>72</v>
      </c>
      <c r="C30" t="s">
        <v>83</v>
      </c>
      <c r="D30" s="3">
        <v>45924</v>
      </c>
      <c r="E30" t="s">
        <v>22</v>
      </c>
      <c r="F30" t="s">
        <v>23</v>
      </c>
      <c r="G30" t="str">
        <f t="shared" si="1"/>
        <v>/code/TS1-S1</v>
      </c>
      <c r="H30" t="s">
        <v>74</v>
      </c>
      <c r="I30" t="str">
        <f t="shared" si="0"/>
        <v>/output/TS1/S1/Pegasus/CPU</v>
      </c>
      <c r="J30">
        <v>14929.561005467</v>
      </c>
      <c r="K30">
        <v>9.9521999999999999E-2</v>
      </c>
      <c r="L30">
        <v>5.8056999999999997E-2</v>
      </c>
      <c r="M30">
        <v>14</v>
      </c>
      <c r="N30" t="s">
        <v>25</v>
      </c>
      <c r="O30" t="s">
        <v>25</v>
      </c>
      <c r="P30">
        <v>4.1465000000000002E-2</v>
      </c>
      <c r="Q30">
        <v>10</v>
      </c>
      <c r="R30" s="4" t="s">
        <v>84</v>
      </c>
      <c r="S30" t="s">
        <v>85</v>
      </c>
    </row>
    <row r="31" spans="1:19" ht="15" customHeight="1" x14ac:dyDescent="0.25">
      <c r="A31" t="s">
        <v>71</v>
      </c>
      <c r="B31" t="s">
        <v>72</v>
      </c>
      <c r="C31" t="s">
        <v>86</v>
      </c>
      <c r="D31" s="3">
        <v>45924</v>
      </c>
      <c r="E31" t="s">
        <v>22</v>
      </c>
      <c r="F31" t="s">
        <v>23</v>
      </c>
      <c r="G31" t="str">
        <f t="shared" si="1"/>
        <v>/code/TS1-S1</v>
      </c>
      <c r="H31" t="s">
        <v>74</v>
      </c>
      <c r="I31" t="str">
        <f t="shared" si="0"/>
        <v>/output/TS1/S1/MT5/CPU</v>
      </c>
      <c r="J31">
        <v>7131.1244575170003</v>
      </c>
      <c r="K31">
        <v>4.7532999999999999E-2</v>
      </c>
      <c r="L31">
        <v>2.7730000000000001E-2</v>
      </c>
      <c r="M31">
        <v>14</v>
      </c>
      <c r="N31" t="s">
        <v>25</v>
      </c>
      <c r="O31" t="s">
        <v>25</v>
      </c>
      <c r="P31">
        <v>1.9803000000000001E-2</v>
      </c>
      <c r="Q31">
        <v>10</v>
      </c>
      <c r="R31" s="4" t="s">
        <v>87</v>
      </c>
      <c r="S31" t="s">
        <v>88</v>
      </c>
    </row>
    <row r="32" spans="1:19" ht="15" customHeight="1" x14ac:dyDescent="0.25">
      <c r="A32" t="s">
        <v>71</v>
      </c>
      <c r="B32" t="s">
        <v>72</v>
      </c>
      <c r="C32" t="s">
        <v>89</v>
      </c>
      <c r="D32" s="3">
        <v>45924</v>
      </c>
      <c r="E32" t="s">
        <v>22</v>
      </c>
      <c r="F32" t="s">
        <v>23</v>
      </c>
      <c r="G32" t="str">
        <f t="shared" si="1"/>
        <v>/code/TS1-S1</v>
      </c>
      <c r="H32" t="s">
        <v>74</v>
      </c>
      <c r="I32" t="str">
        <f t="shared" si="0"/>
        <v>/output/TS1/S1/Bert2Bert/CPU</v>
      </c>
      <c r="J32">
        <v>6648.1765063450002</v>
      </c>
      <c r="K32">
        <v>4.4320999999999999E-2</v>
      </c>
      <c r="L32">
        <v>2.5853999999999999E-2</v>
      </c>
      <c r="M32">
        <v>14</v>
      </c>
      <c r="N32" t="s">
        <v>25</v>
      </c>
      <c r="O32" t="s">
        <v>25</v>
      </c>
      <c r="P32">
        <v>1.8467000000000001E-2</v>
      </c>
      <c r="Q32">
        <v>10</v>
      </c>
      <c r="R32" s="4" t="s">
        <v>90</v>
      </c>
      <c r="S32" t="s">
        <v>91</v>
      </c>
    </row>
    <row r="34" spans="1:19" ht="15" customHeight="1" x14ac:dyDescent="0.25">
      <c r="A34" t="s">
        <v>71</v>
      </c>
      <c r="B34" t="s">
        <v>92</v>
      </c>
      <c r="C34" t="s">
        <v>73</v>
      </c>
      <c r="D34" s="3">
        <v>45968</v>
      </c>
      <c r="E34" t="s">
        <v>41</v>
      </c>
      <c r="F34" t="s">
        <v>23</v>
      </c>
      <c r="G34" t="str">
        <f t="shared" si="1"/>
        <v>/code/TS1-S2</v>
      </c>
      <c r="H34" t="s">
        <v>74</v>
      </c>
      <c r="I34" t="str">
        <f t="shared" si="0"/>
        <v>/output/TS1/S2/LexRank/CPU</v>
      </c>
      <c r="J34">
        <v>326.54838716499899</v>
      </c>
      <c r="K34">
        <v>4.7600000000000003E-3</v>
      </c>
      <c r="L34">
        <v>2.947E-3</v>
      </c>
      <c r="M34">
        <v>32.5</v>
      </c>
      <c r="N34" t="s">
        <v>25</v>
      </c>
      <c r="O34" t="s">
        <v>25</v>
      </c>
      <c r="P34">
        <v>1.8129999999999999E-3</v>
      </c>
      <c r="Q34">
        <v>20</v>
      </c>
      <c r="R34" s="4" t="s">
        <v>93</v>
      </c>
      <c r="S34" t="s">
        <v>94</v>
      </c>
    </row>
    <row r="35" spans="1:19" ht="15" customHeight="1" x14ac:dyDescent="0.25">
      <c r="A35" t="s">
        <v>71</v>
      </c>
      <c r="B35" t="s">
        <v>92</v>
      </c>
      <c r="C35" t="s">
        <v>77</v>
      </c>
      <c r="D35" s="3">
        <v>45968</v>
      </c>
      <c r="E35" t="s">
        <v>41</v>
      </c>
      <c r="F35" t="s">
        <v>23</v>
      </c>
      <c r="G35" t="str">
        <f t="shared" si="1"/>
        <v>/code/TS1-S2</v>
      </c>
      <c r="H35" t="s">
        <v>74</v>
      </c>
      <c r="I35" t="str">
        <f t="shared" si="0"/>
        <v>/output/TS1/S2/TextRank/CPU</v>
      </c>
      <c r="J35">
        <v>331.02125157599897</v>
      </c>
      <c r="K35">
        <v>4.8260000000000004E-3</v>
      </c>
      <c r="L35">
        <v>2.9880000000000002E-3</v>
      </c>
      <c r="M35">
        <v>32.5</v>
      </c>
      <c r="N35" t="s">
        <v>25</v>
      </c>
      <c r="O35" t="s">
        <v>25</v>
      </c>
      <c r="P35">
        <v>1.838E-3</v>
      </c>
      <c r="Q35">
        <v>20</v>
      </c>
      <c r="R35" s="4" t="s">
        <v>95</v>
      </c>
      <c r="S35" t="s">
        <v>96</v>
      </c>
    </row>
    <row r="36" spans="1:19" ht="15" customHeight="1" x14ac:dyDescent="0.25">
      <c r="A36" t="s">
        <v>71</v>
      </c>
      <c r="B36" t="s">
        <v>92</v>
      </c>
      <c r="C36" t="s">
        <v>80</v>
      </c>
      <c r="D36" s="3">
        <v>45967</v>
      </c>
      <c r="E36" t="s">
        <v>41</v>
      </c>
      <c r="F36" t="s">
        <v>23</v>
      </c>
      <c r="G36" t="str">
        <f t="shared" si="1"/>
        <v>/code/TS1-S2</v>
      </c>
      <c r="H36" t="s">
        <v>74</v>
      </c>
      <c r="I36" t="str">
        <f t="shared" si="0"/>
        <v>/output/TS1/S2/T5/CPU</v>
      </c>
      <c r="J36">
        <v>5982.8164165639901</v>
      </c>
      <c r="K36">
        <v>8.7248999999999993E-2</v>
      </c>
      <c r="L36">
        <v>5.4011999999999998E-2</v>
      </c>
      <c r="M36">
        <v>32.5</v>
      </c>
      <c r="N36" t="s">
        <v>25</v>
      </c>
      <c r="O36" t="s">
        <v>25</v>
      </c>
      <c r="P36">
        <v>3.3237000000000003E-2</v>
      </c>
      <c r="Q36">
        <v>20</v>
      </c>
      <c r="R36" s="4" t="s">
        <v>97</v>
      </c>
      <c r="S36" t="s">
        <v>98</v>
      </c>
    </row>
    <row r="37" spans="1:19" ht="15" customHeight="1" x14ac:dyDescent="0.25">
      <c r="A37" t="s">
        <v>71</v>
      </c>
      <c r="B37" t="s">
        <v>92</v>
      </c>
      <c r="C37" t="s">
        <v>80</v>
      </c>
      <c r="D37" t="s">
        <v>25</v>
      </c>
      <c r="E37" t="s">
        <v>41</v>
      </c>
      <c r="F37" t="s">
        <v>48</v>
      </c>
      <c r="G37" t="s">
        <v>25</v>
      </c>
      <c r="H37" t="s">
        <v>25</v>
      </c>
      <c r="I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</row>
    <row r="38" spans="1:19" ht="15" customHeight="1" x14ac:dyDescent="0.25">
      <c r="A38" t="s">
        <v>71</v>
      </c>
      <c r="B38" t="s">
        <v>92</v>
      </c>
      <c r="C38" t="s">
        <v>83</v>
      </c>
      <c r="D38" s="3">
        <v>45968</v>
      </c>
      <c r="E38" t="s">
        <v>41</v>
      </c>
      <c r="F38" t="s">
        <v>23</v>
      </c>
      <c r="G38" t="str">
        <f t="shared" si="1"/>
        <v>/code/TS1-S2</v>
      </c>
      <c r="H38" t="s">
        <v>74</v>
      </c>
      <c r="I38" t="str">
        <f t="shared" si="0"/>
        <v>/output/TS1/S2/Pegasus/CPU</v>
      </c>
      <c r="J38">
        <v>10913.523000450999</v>
      </c>
      <c r="K38">
        <v>0.15914300000000001</v>
      </c>
      <c r="L38">
        <v>9.8520999999999997E-2</v>
      </c>
      <c r="M38">
        <v>32.5</v>
      </c>
      <c r="N38" t="s">
        <v>25</v>
      </c>
      <c r="O38" t="s">
        <v>25</v>
      </c>
      <c r="P38">
        <v>6.0622000000000002E-2</v>
      </c>
      <c r="Q38">
        <v>20</v>
      </c>
      <c r="R38" s="4" t="s">
        <v>99</v>
      </c>
      <c r="S38" t="s">
        <v>100</v>
      </c>
    </row>
    <row r="39" spans="1:19" ht="15" customHeight="1" x14ac:dyDescent="0.25">
      <c r="A39" t="s">
        <v>71</v>
      </c>
      <c r="B39" t="s">
        <v>92</v>
      </c>
      <c r="C39" t="s">
        <v>83</v>
      </c>
      <c r="D39" t="s">
        <v>25</v>
      </c>
      <c r="E39" t="s">
        <v>41</v>
      </c>
      <c r="F39" t="s">
        <v>48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</row>
    <row r="40" spans="1:19" ht="15" customHeight="1" x14ac:dyDescent="0.25">
      <c r="A40" t="s">
        <v>71</v>
      </c>
      <c r="B40" t="s">
        <v>92</v>
      </c>
      <c r="C40" t="s">
        <v>86</v>
      </c>
      <c r="D40" s="3">
        <v>45968</v>
      </c>
      <c r="E40" t="s">
        <v>41</v>
      </c>
      <c r="F40" t="s">
        <v>23</v>
      </c>
      <c r="G40" t="str">
        <f t="shared" si="1"/>
        <v>/code/TS1-S2</v>
      </c>
      <c r="H40" t="s">
        <v>74</v>
      </c>
      <c r="I40" t="str">
        <f t="shared" si="0"/>
        <v>/output/TS1/S2/MT5/CPU</v>
      </c>
      <c r="J40">
        <v>5920.4541860109903</v>
      </c>
      <c r="K40">
        <v>8.6308999999999997E-2</v>
      </c>
      <c r="L40">
        <v>5.3440000000000001E-2</v>
      </c>
      <c r="M40">
        <v>32.5</v>
      </c>
      <c r="N40" t="s">
        <v>25</v>
      </c>
      <c r="O40" t="s">
        <v>25</v>
      </c>
      <c r="P40">
        <v>3.2869000000000002E-2</v>
      </c>
      <c r="Q40">
        <v>20</v>
      </c>
      <c r="R40" s="4" t="s">
        <v>101</v>
      </c>
      <c r="S40" t="s">
        <v>102</v>
      </c>
    </row>
    <row r="41" spans="1:19" ht="15" customHeight="1" x14ac:dyDescent="0.25">
      <c r="A41" t="s">
        <v>71</v>
      </c>
      <c r="B41" t="s">
        <v>92</v>
      </c>
      <c r="C41" t="s">
        <v>86</v>
      </c>
      <c r="D41" t="s">
        <v>25</v>
      </c>
      <c r="E41" t="s">
        <v>41</v>
      </c>
      <c r="F41" t="s">
        <v>48</v>
      </c>
      <c r="G41" t="s">
        <v>25</v>
      </c>
      <c r="H41" t="s">
        <v>25</v>
      </c>
      <c r="I41" t="s">
        <v>25</v>
      </c>
      <c r="J41" t="s">
        <v>25</v>
      </c>
      <c r="K41" t="s">
        <v>25</v>
      </c>
      <c r="L41" t="s">
        <v>25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</row>
    <row r="42" spans="1:19" ht="15" customHeight="1" x14ac:dyDescent="0.25">
      <c r="A42" t="s">
        <v>71</v>
      </c>
      <c r="B42" t="s">
        <v>92</v>
      </c>
      <c r="C42" t="s">
        <v>89</v>
      </c>
      <c r="D42" s="3">
        <v>45968</v>
      </c>
      <c r="E42" t="s">
        <v>41</v>
      </c>
      <c r="F42" t="s">
        <v>23</v>
      </c>
      <c r="G42" t="str">
        <f t="shared" si="1"/>
        <v>/code/TS1-S2</v>
      </c>
      <c r="H42" t="s">
        <v>74</v>
      </c>
      <c r="I42" t="str">
        <f t="shared" si="0"/>
        <v>/output/TS1/S2/Bert2Bert/CPU</v>
      </c>
      <c r="J42">
        <v>5849.6244957059898</v>
      </c>
      <c r="K42">
        <v>8.5306999999999994E-2</v>
      </c>
      <c r="L42">
        <v>5.2809000000000002E-2</v>
      </c>
      <c r="M42">
        <v>32.5</v>
      </c>
      <c r="N42" t="s">
        <v>25</v>
      </c>
      <c r="O42" t="s">
        <v>25</v>
      </c>
      <c r="P42">
        <v>3.2496999999999998E-2</v>
      </c>
      <c r="Q42">
        <v>20</v>
      </c>
      <c r="R42" s="4" t="s">
        <v>103</v>
      </c>
      <c r="S42" t="s">
        <v>104</v>
      </c>
    </row>
    <row r="43" spans="1:19" ht="15" customHeight="1" x14ac:dyDescent="0.25">
      <c r="A43" t="s">
        <v>71</v>
      </c>
      <c r="B43" t="s">
        <v>92</v>
      </c>
      <c r="C43" t="s">
        <v>89</v>
      </c>
      <c r="D43" t="s">
        <v>25</v>
      </c>
      <c r="E43" t="s">
        <v>41</v>
      </c>
      <c r="F43" t="s">
        <v>48</v>
      </c>
      <c r="G43" t="s">
        <v>25</v>
      </c>
      <c r="H43" t="s">
        <v>25</v>
      </c>
      <c r="I43" t="str">
        <f t="shared" si="0"/>
        <v>/output/TS1/S2/Bert2Bert/GPU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</row>
    <row r="45" spans="1:19" ht="15" customHeight="1" x14ac:dyDescent="0.25">
      <c r="A45" t="s">
        <v>71</v>
      </c>
      <c r="B45" t="s">
        <v>105</v>
      </c>
      <c r="C45" t="s">
        <v>73</v>
      </c>
      <c r="D45" s="3">
        <v>45959</v>
      </c>
      <c r="E45" t="s">
        <v>54</v>
      </c>
      <c r="F45" t="s">
        <v>23</v>
      </c>
      <c r="G45" t="str">
        <f t="shared" si="1"/>
        <v>/code/TS1-S3</v>
      </c>
      <c r="H45" t="s">
        <v>74</v>
      </c>
      <c r="I45" t="str">
        <f t="shared" si="0"/>
        <v>/output/TS1/S3/LexRank/CPU</v>
      </c>
      <c r="J45">
        <v>283.303837112</v>
      </c>
      <c r="K45">
        <v>4.7359999999999998E-3</v>
      </c>
      <c r="L45">
        <v>2.555E-3</v>
      </c>
      <c r="M45">
        <v>32.5</v>
      </c>
      <c r="N45" t="s">
        <v>25</v>
      </c>
      <c r="O45" t="s">
        <v>25</v>
      </c>
      <c r="P45">
        <v>1.57E-3</v>
      </c>
      <c r="Q45">
        <v>20</v>
      </c>
      <c r="R45" s="4" t="s">
        <v>106</v>
      </c>
      <c r="S45" t="s">
        <v>107</v>
      </c>
    </row>
    <row r="46" spans="1:19" ht="15" customHeight="1" x14ac:dyDescent="0.25">
      <c r="A46" t="s">
        <v>71</v>
      </c>
      <c r="B46" t="s">
        <v>105</v>
      </c>
      <c r="C46" t="s">
        <v>77</v>
      </c>
      <c r="D46" s="3">
        <v>45959</v>
      </c>
      <c r="E46" t="s">
        <v>54</v>
      </c>
      <c r="F46" t="s">
        <v>23</v>
      </c>
      <c r="G46" t="str">
        <f t="shared" si="1"/>
        <v>/code/TS1-S3</v>
      </c>
      <c r="H46" t="s">
        <v>74</v>
      </c>
      <c r="I46" t="str">
        <f t="shared" si="0"/>
        <v>/output/TS1/S3/TextRank/CPU</v>
      </c>
      <c r="J46">
        <v>242.360415123</v>
      </c>
      <c r="K46">
        <v>4.0850000000000001E-3</v>
      </c>
      <c r="L46">
        <v>2.1849999999999999E-3</v>
      </c>
      <c r="M46">
        <v>32.5</v>
      </c>
      <c r="N46" t="s">
        <v>25</v>
      </c>
      <c r="O46" t="s">
        <v>25</v>
      </c>
      <c r="P46">
        <v>1.343E-3</v>
      </c>
      <c r="Q46">
        <v>20</v>
      </c>
      <c r="R46" s="4" t="s">
        <v>108</v>
      </c>
      <c r="S46" t="s">
        <v>109</v>
      </c>
    </row>
    <row r="47" spans="1:19" ht="15" customHeight="1" x14ac:dyDescent="0.25">
      <c r="A47" t="s">
        <v>71</v>
      </c>
      <c r="B47" t="s">
        <v>105</v>
      </c>
      <c r="C47" t="s">
        <v>80</v>
      </c>
      <c r="D47" s="3">
        <v>45968</v>
      </c>
      <c r="E47" t="s">
        <v>54</v>
      </c>
      <c r="F47" t="s">
        <v>23</v>
      </c>
      <c r="G47" t="str">
        <f t="shared" si="1"/>
        <v>/code/TS1-S3</v>
      </c>
      <c r="H47" t="s">
        <v>74</v>
      </c>
      <c r="I47" t="str">
        <f t="shared" si="0"/>
        <v>/output/TS1/S3/T5/CPU</v>
      </c>
      <c r="J47">
        <v>4284.718199035</v>
      </c>
      <c r="K47">
        <v>6.2484999999999999E-2</v>
      </c>
      <c r="L47">
        <v>3.8682000000000001E-2</v>
      </c>
      <c r="M47">
        <v>32.5</v>
      </c>
      <c r="N47" t="s">
        <v>25</v>
      </c>
      <c r="O47" t="s">
        <v>25</v>
      </c>
      <c r="P47">
        <v>2.3803000000000001E-2</v>
      </c>
      <c r="Q47">
        <v>20</v>
      </c>
      <c r="R47" s="4" t="s">
        <v>110</v>
      </c>
      <c r="S47" t="s">
        <v>111</v>
      </c>
    </row>
    <row r="48" spans="1:19" ht="15" customHeight="1" x14ac:dyDescent="0.25">
      <c r="A48" t="s">
        <v>71</v>
      </c>
      <c r="B48" t="s">
        <v>105</v>
      </c>
      <c r="C48" t="s">
        <v>80</v>
      </c>
      <c r="D48" s="3">
        <v>45959</v>
      </c>
      <c r="E48" t="s">
        <v>54</v>
      </c>
      <c r="F48" t="s">
        <v>48</v>
      </c>
      <c r="G48" t="str">
        <f t="shared" si="1"/>
        <v>/code/TS1-S3</v>
      </c>
      <c r="H48" t="s">
        <v>74</v>
      </c>
      <c r="I48" t="str">
        <f t="shared" si="0"/>
        <v>/output/TS1/S3/T5/GPU</v>
      </c>
      <c r="J48">
        <v>2386.3087828129901</v>
      </c>
      <c r="K48">
        <v>6.6207000000000002E-2</v>
      </c>
      <c r="L48">
        <v>2.1543E-2</v>
      </c>
      <c r="M48">
        <v>32.5</v>
      </c>
      <c r="N48">
        <v>3.1407999999999998E-2</v>
      </c>
      <c r="O48">
        <v>61.822716495895101</v>
      </c>
      <c r="P48">
        <v>1.3256E-2</v>
      </c>
      <c r="Q48">
        <v>20</v>
      </c>
      <c r="R48" s="4" t="s">
        <v>112</v>
      </c>
      <c r="S48" t="s">
        <v>113</v>
      </c>
    </row>
    <row r="49" spans="1:19" ht="15" customHeight="1" x14ac:dyDescent="0.25">
      <c r="A49" t="s">
        <v>71</v>
      </c>
      <c r="B49" t="s">
        <v>105</v>
      </c>
      <c r="C49" t="s">
        <v>83</v>
      </c>
      <c r="D49" s="3">
        <v>45968</v>
      </c>
      <c r="E49" t="s">
        <v>54</v>
      </c>
      <c r="F49" t="s">
        <v>23</v>
      </c>
      <c r="G49" t="str">
        <f t="shared" si="1"/>
        <v>/code/TS1-S3</v>
      </c>
      <c r="H49" t="s">
        <v>74</v>
      </c>
      <c r="I49" t="str">
        <f t="shared" si="0"/>
        <v>/output/TS1/S3/Pegasus/CPU</v>
      </c>
      <c r="J49">
        <v>8900.7688035200008</v>
      </c>
      <c r="K49">
        <v>0.12978500000000001</v>
      </c>
      <c r="L49">
        <v>8.0347000000000002E-2</v>
      </c>
      <c r="M49">
        <v>32.5</v>
      </c>
      <c r="N49" t="s">
        <v>25</v>
      </c>
      <c r="O49" t="s">
        <v>25</v>
      </c>
      <c r="P49">
        <v>4.9438000000000003E-2</v>
      </c>
      <c r="Q49">
        <v>20</v>
      </c>
      <c r="R49" s="4" t="s">
        <v>114</v>
      </c>
      <c r="S49" t="s">
        <v>115</v>
      </c>
    </row>
    <row r="50" spans="1:19" ht="15" customHeight="1" x14ac:dyDescent="0.25">
      <c r="A50" t="s">
        <v>71</v>
      </c>
      <c r="B50" t="s">
        <v>105</v>
      </c>
      <c r="C50" t="s">
        <v>83</v>
      </c>
      <c r="D50" s="3">
        <v>45967</v>
      </c>
      <c r="E50" t="s">
        <v>54</v>
      </c>
      <c r="F50" t="s">
        <v>48</v>
      </c>
      <c r="G50" t="str">
        <f t="shared" si="1"/>
        <v>/code/TS1-S3</v>
      </c>
      <c r="H50" t="s">
        <v>74</v>
      </c>
      <c r="I50" t="str">
        <f t="shared" si="0"/>
        <v>/output/TS1/S3/Pegasus/GPU</v>
      </c>
      <c r="J50">
        <v>3652.6855469779998</v>
      </c>
      <c r="K50">
        <v>0.10591299999999999</v>
      </c>
      <c r="L50">
        <v>3.2960000000000003E-2</v>
      </c>
      <c r="M50">
        <v>32.5</v>
      </c>
      <c r="N50">
        <v>5.2676000000000001E-2</v>
      </c>
      <c r="O50">
        <v>56.857745668064297</v>
      </c>
      <c r="P50">
        <v>2.0275999999999999E-2</v>
      </c>
      <c r="Q50">
        <v>20</v>
      </c>
      <c r="R50" s="4" t="s">
        <v>116</v>
      </c>
      <c r="S50" t="s">
        <v>117</v>
      </c>
    </row>
    <row r="51" spans="1:19" ht="15" customHeight="1" x14ac:dyDescent="0.25">
      <c r="A51" t="s">
        <v>71</v>
      </c>
      <c r="B51" t="s">
        <v>105</v>
      </c>
      <c r="C51" t="s">
        <v>86</v>
      </c>
      <c r="D51" s="3">
        <v>45968</v>
      </c>
      <c r="E51" t="s">
        <v>54</v>
      </c>
      <c r="F51" t="s">
        <v>23</v>
      </c>
      <c r="G51" t="str">
        <f t="shared" si="1"/>
        <v>/code/TS1-S3</v>
      </c>
      <c r="H51" t="s">
        <v>74</v>
      </c>
      <c r="I51" t="str">
        <f t="shared" si="0"/>
        <v>/output/TS1/S3/MT5/CPU</v>
      </c>
      <c r="J51">
        <v>5648.9551871949898</v>
      </c>
      <c r="K51">
        <v>8.2352999999999996E-2</v>
      </c>
      <c r="L51">
        <v>5.0992000000000003E-2</v>
      </c>
      <c r="M51">
        <v>32.5</v>
      </c>
      <c r="N51" t="s">
        <v>25</v>
      </c>
      <c r="O51" t="s">
        <v>25</v>
      </c>
      <c r="P51">
        <v>3.1361E-2</v>
      </c>
      <c r="Q51">
        <v>20</v>
      </c>
      <c r="R51" s="4" t="s">
        <v>118</v>
      </c>
      <c r="S51" t="s">
        <v>119</v>
      </c>
    </row>
    <row r="52" spans="1:19" ht="15" customHeight="1" x14ac:dyDescent="0.25">
      <c r="A52" t="s">
        <v>71</v>
      </c>
      <c r="B52" t="s">
        <v>105</v>
      </c>
      <c r="C52" t="s">
        <v>86</v>
      </c>
      <c r="D52" s="3">
        <v>45959</v>
      </c>
      <c r="E52" t="s">
        <v>54</v>
      </c>
      <c r="F52" t="s">
        <v>48</v>
      </c>
      <c r="G52" t="str">
        <f t="shared" si="1"/>
        <v>/code/TS1-S3</v>
      </c>
      <c r="H52" t="s">
        <v>74</v>
      </c>
      <c r="I52" t="str">
        <f t="shared" si="0"/>
        <v>/output/TS1/S3/MT5/GPU</v>
      </c>
      <c r="J52">
        <v>3772.9287908319998</v>
      </c>
      <c r="K52">
        <v>9.2113E-2</v>
      </c>
      <c r="L52">
        <v>3.4042999999999997E-2</v>
      </c>
      <c r="M52">
        <v>32.5</v>
      </c>
      <c r="N52">
        <v>3.7144000000000003E-2</v>
      </c>
      <c r="O52">
        <v>37.009595699671699</v>
      </c>
      <c r="P52">
        <v>2.0926E-2</v>
      </c>
      <c r="Q52">
        <v>20</v>
      </c>
      <c r="R52" s="4" t="s">
        <v>120</v>
      </c>
      <c r="S52" t="s">
        <v>121</v>
      </c>
    </row>
    <row r="53" spans="1:19" ht="15" customHeight="1" x14ac:dyDescent="0.25">
      <c r="A53" t="s">
        <v>71</v>
      </c>
      <c r="B53" t="s">
        <v>105</v>
      </c>
      <c r="C53" t="s">
        <v>89</v>
      </c>
      <c r="D53" s="3">
        <v>45968</v>
      </c>
      <c r="E53" t="s">
        <v>54</v>
      </c>
      <c r="F53" t="s">
        <v>23</v>
      </c>
      <c r="G53" t="str">
        <f t="shared" si="1"/>
        <v>/code/TS1-S3</v>
      </c>
      <c r="H53" t="s">
        <v>74</v>
      </c>
      <c r="I53" t="str">
        <f t="shared" si="0"/>
        <v>/output/TS1/S3/Bert2Bert/CPU</v>
      </c>
      <c r="J53">
        <v>4098.8777732769904</v>
      </c>
      <c r="K53">
        <v>5.9775000000000002E-2</v>
      </c>
      <c r="L53">
        <v>3.7004000000000002E-2</v>
      </c>
      <c r="M53">
        <v>32.5</v>
      </c>
      <c r="N53" t="s">
        <v>25</v>
      </c>
      <c r="O53" t="s">
        <v>25</v>
      </c>
      <c r="P53">
        <v>2.2771E-2</v>
      </c>
      <c r="Q53">
        <v>20</v>
      </c>
      <c r="R53" s="4" t="s">
        <v>122</v>
      </c>
      <c r="S53" t="s">
        <v>123</v>
      </c>
    </row>
    <row r="54" spans="1:19" ht="15" customHeight="1" x14ac:dyDescent="0.25">
      <c r="A54" t="s">
        <v>71</v>
      </c>
      <c r="B54" t="s">
        <v>105</v>
      </c>
      <c r="C54" t="s">
        <v>89</v>
      </c>
      <c r="D54" s="3">
        <v>45967</v>
      </c>
      <c r="E54" t="s">
        <v>54</v>
      </c>
      <c r="F54" t="s">
        <v>48</v>
      </c>
      <c r="G54" t="str">
        <f t="shared" si="1"/>
        <v>/code/TS1-S3</v>
      </c>
      <c r="H54" t="s">
        <v>74</v>
      </c>
      <c r="I54" t="str">
        <f t="shared" si="0"/>
        <v>/output/TS1/S3/Bert2Bert/GPU</v>
      </c>
      <c r="J54">
        <v>2966.27750796399</v>
      </c>
      <c r="K54">
        <v>7.3066999999999993E-2</v>
      </c>
      <c r="L54">
        <v>2.6778E-2</v>
      </c>
      <c r="M54">
        <v>32.5</v>
      </c>
      <c r="N54">
        <v>2.9811000000000001E-2</v>
      </c>
      <c r="O54">
        <v>37.047683800526301</v>
      </c>
      <c r="P54">
        <v>1.6478E-2</v>
      </c>
      <c r="Q54">
        <v>20</v>
      </c>
      <c r="R54" s="4" t="s">
        <v>124</v>
      </c>
      <c r="S54" t="s">
        <v>125</v>
      </c>
    </row>
    <row r="57" spans="1:19" ht="15" customHeight="1" x14ac:dyDescent="0.25">
      <c r="A57" t="s">
        <v>126</v>
      </c>
      <c r="B57" t="s">
        <v>127</v>
      </c>
      <c r="C57" t="s">
        <v>73</v>
      </c>
      <c r="D57" s="3">
        <v>45943</v>
      </c>
      <c r="E57" t="s">
        <v>22</v>
      </c>
      <c r="F57" t="s">
        <v>23</v>
      </c>
      <c r="G57" t="str">
        <f>"/code/TS2-"&amp;E57&amp;"/lex"</f>
        <v>/code/TS2-S1/lex</v>
      </c>
      <c r="H57" t="s">
        <v>128</v>
      </c>
      <c r="I57" t="str">
        <f t="shared" si="0"/>
        <v>/output/TS2/S1/LexRank/CPU</v>
      </c>
      <c r="J57">
        <v>91.010171515997996</v>
      </c>
      <c r="K57">
        <v>5.9599999999999996E-4</v>
      </c>
      <c r="L57">
        <v>3.48E-4</v>
      </c>
      <c r="M57">
        <v>14</v>
      </c>
      <c r="N57" t="s">
        <v>25</v>
      </c>
      <c r="O57" t="s">
        <v>25</v>
      </c>
      <c r="P57">
        <v>2.4800000000000001E-4</v>
      </c>
      <c r="Q57">
        <v>10</v>
      </c>
      <c r="R57" s="4" t="s">
        <v>129</v>
      </c>
      <c r="S57" t="s">
        <v>130</v>
      </c>
    </row>
    <row r="58" spans="1:19" ht="15" customHeight="1" x14ac:dyDescent="0.25">
      <c r="A58" t="s">
        <v>126</v>
      </c>
      <c r="B58" t="s">
        <v>127</v>
      </c>
      <c r="C58" t="s">
        <v>131</v>
      </c>
      <c r="D58" s="3">
        <v>45943</v>
      </c>
      <c r="E58" t="s">
        <v>22</v>
      </c>
      <c r="F58" t="s">
        <v>23</v>
      </c>
      <c r="G58" t="str">
        <f>"/code/TS2-"&amp;E58&amp;"/bert2bert"</f>
        <v>/code/TS2-S1/bert2bert</v>
      </c>
      <c r="H58" t="s">
        <v>128</v>
      </c>
      <c r="I58" t="str">
        <f t="shared" si="0"/>
        <v>/output/TS2/S1/Bert/CPU</v>
      </c>
      <c r="J58">
        <v>3048.9736754629998</v>
      </c>
      <c r="K58">
        <v>2.0315E-2</v>
      </c>
      <c r="L58">
        <v>1.1851E-2</v>
      </c>
      <c r="M58">
        <v>14</v>
      </c>
      <c r="N58" t="s">
        <v>25</v>
      </c>
      <c r="O58" t="s">
        <v>25</v>
      </c>
      <c r="P58">
        <v>8.4639999999999993E-3</v>
      </c>
      <c r="Q58">
        <v>10</v>
      </c>
      <c r="R58" s="4" t="s">
        <v>132</v>
      </c>
      <c r="S58" t="s">
        <v>133</v>
      </c>
    </row>
    <row r="59" spans="1:19" ht="15" customHeight="1" x14ac:dyDescent="0.25">
      <c r="A59" t="s">
        <v>126</v>
      </c>
      <c r="B59" t="s">
        <v>127</v>
      </c>
      <c r="C59" t="s">
        <v>134</v>
      </c>
      <c r="D59" s="3">
        <v>45975</v>
      </c>
      <c r="E59" t="s">
        <v>22</v>
      </c>
      <c r="F59" t="s">
        <v>23</v>
      </c>
      <c r="G59" t="str">
        <f>"/code/TS2-"&amp;E59&amp;"/mlong"</f>
        <v>/code/TS2-S1/mlong</v>
      </c>
      <c r="H59" t="s">
        <v>128</v>
      </c>
      <c r="I59" t="str">
        <f t="shared" si="0"/>
        <v>/output/TS2/S1/mLongT5/CPU</v>
      </c>
      <c r="J59">
        <v>57275.8886862379</v>
      </c>
      <c r="K59">
        <v>0.38181399999999999</v>
      </c>
      <c r="L59">
        <v>0.22272800000000001</v>
      </c>
      <c r="M59">
        <v>14</v>
      </c>
      <c r="N59" t="s">
        <v>25</v>
      </c>
      <c r="O59" t="s">
        <v>25</v>
      </c>
      <c r="P59">
        <v>0.15908600000000001</v>
      </c>
      <c r="Q59">
        <v>10</v>
      </c>
      <c r="R59" s="4" t="s">
        <v>135</v>
      </c>
      <c r="S59" t="s">
        <v>136</v>
      </c>
    </row>
    <row r="60" spans="1:19" ht="15" customHeight="1" x14ac:dyDescent="0.25">
      <c r="A60" t="s">
        <v>126</v>
      </c>
      <c r="B60" t="s">
        <v>127</v>
      </c>
      <c r="C60" t="s">
        <v>137</v>
      </c>
      <c r="D60" s="3">
        <v>45950</v>
      </c>
      <c r="E60" t="s">
        <v>22</v>
      </c>
      <c r="F60" t="s">
        <v>23</v>
      </c>
      <c r="G60" t="str">
        <f>"/code/TS2-"&amp;E60&amp;"/mixtral"</f>
        <v>/code/TS2-S1/mixtral</v>
      </c>
      <c r="H60" t="s">
        <v>128</v>
      </c>
      <c r="I60" t="str">
        <f t="shared" si="0"/>
        <v>/output/TS2/S1/Mistral/CPU</v>
      </c>
      <c r="J60">
        <v>252902.22868269999</v>
      </c>
      <c r="K60">
        <v>9.2725783850394006</v>
      </c>
      <c r="L60">
        <v>7.8676880000000002</v>
      </c>
      <c r="M60">
        <v>120</v>
      </c>
      <c r="N60" t="s">
        <v>25</v>
      </c>
      <c r="O60" t="s">
        <v>25</v>
      </c>
      <c r="P60">
        <v>1.4048909999999999</v>
      </c>
      <c r="Q60">
        <v>20</v>
      </c>
      <c r="R60" s="4" t="s">
        <v>138</v>
      </c>
      <c r="S60" t="s">
        <v>139</v>
      </c>
    </row>
    <row r="62" spans="1:19" ht="15" customHeight="1" x14ac:dyDescent="0.25">
      <c r="A62" t="s">
        <v>126</v>
      </c>
      <c r="B62" t="s">
        <v>140</v>
      </c>
      <c r="C62" t="s">
        <v>73</v>
      </c>
      <c r="D62" s="3">
        <v>45964</v>
      </c>
      <c r="E62" t="s">
        <v>41</v>
      </c>
      <c r="F62" t="s">
        <v>23</v>
      </c>
      <c r="G62" t="str">
        <f t="shared" ref="G62:G70" si="2">"/code/TS2-"&amp;E62&amp;"/lex"</f>
        <v>/code/TS2-S2/lex</v>
      </c>
      <c r="H62" t="s">
        <v>128</v>
      </c>
      <c r="I62" t="str">
        <f t="shared" si="0"/>
        <v>/output/TS2/S2/LexRank/CPU</v>
      </c>
      <c r="J62">
        <v>98.863055540000005</v>
      </c>
      <c r="K62">
        <v>1.4189999999999999E-3</v>
      </c>
      <c r="L62">
        <v>8.7900000000000001E-4</v>
      </c>
      <c r="M62">
        <v>32.5</v>
      </c>
      <c r="N62" t="s">
        <v>25</v>
      </c>
      <c r="O62" t="s">
        <v>25</v>
      </c>
      <c r="P62">
        <v>5.4100000000000003E-4</v>
      </c>
      <c r="Q62">
        <v>20</v>
      </c>
      <c r="R62" s="4" t="s">
        <v>141</v>
      </c>
      <c r="S62" t="s">
        <v>142</v>
      </c>
    </row>
    <row r="63" spans="1:19" ht="15" customHeight="1" x14ac:dyDescent="0.25">
      <c r="A63" t="s">
        <v>126</v>
      </c>
      <c r="B63" t="s">
        <v>140</v>
      </c>
      <c r="C63" t="s">
        <v>131</v>
      </c>
      <c r="D63" s="3">
        <v>45944</v>
      </c>
      <c r="E63" t="s">
        <v>41</v>
      </c>
      <c r="F63" t="s">
        <v>23</v>
      </c>
      <c r="G63" t="str">
        <f>"/code/TS2-"&amp;E63&amp;"/bert2bert"</f>
        <v>/code/TS2-S2/bert2bert</v>
      </c>
      <c r="H63" t="s">
        <v>128</v>
      </c>
      <c r="I63" t="str">
        <f t="shared" si="0"/>
        <v>/output/TS2/S2/Bert/CPU</v>
      </c>
      <c r="J63">
        <v>2963.4571180989901</v>
      </c>
      <c r="K63">
        <v>4.3194000000000003E-2</v>
      </c>
      <c r="L63">
        <v>2.6738999999999999E-2</v>
      </c>
      <c r="M63">
        <v>32.5</v>
      </c>
      <c r="N63" t="s">
        <v>25</v>
      </c>
      <c r="O63" t="s">
        <v>25</v>
      </c>
      <c r="P63">
        <v>1.6454E-2</v>
      </c>
      <c r="Q63">
        <v>20</v>
      </c>
      <c r="R63" s="4" t="s">
        <v>143</v>
      </c>
      <c r="S63" t="s">
        <v>144</v>
      </c>
    </row>
    <row r="64" spans="1:19" ht="15" customHeight="1" x14ac:dyDescent="0.25">
      <c r="A64" t="s">
        <v>126</v>
      </c>
      <c r="B64" t="s">
        <v>140</v>
      </c>
      <c r="C64" t="s">
        <v>131</v>
      </c>
      <c r="D64" t="s">
        <v>25</v>
      </c>
      <c r="E64" t="s">
        <v>41</v>
      </c>
      <c r="F64" t="s">
        <v>48</v>
      </c>
      <c r="G64" t="s">
        <v>25</v>
      </c>
      <c r="H64" t="s">
        <v>25</v>
      </c>
      <c r="I64" t="s">
        <v>25</v>
      </c>
      <c r="J64" t="s">
        <v>25</v>
      </c>
      <c r="K64" t="s">
        <v>25</v>
      </c>
      <c r="L64" t="s">
        <v>25</v>
      </c>
      <c r="M64" t="s">
        <v>25</v>
      </c>
      <c r="N64" t="s">
        <v>25</v>
      </c>
      <c r="O64" t="s">
        <v>25</v>
      </c>
      <c r="P64" t="s">
        <v>25</v>
      </c>
      <c r="Q64" t="s">
        <v>25</v>
      </c>
      <c r="R64" t="s">
        <v>25</v>
      </c>
      <c r="S64" t="s">
        <v>25</v>
      </c>
    </row>
    <row r="65" spans="1:19" ht="15" customHeight="1" x14ac:dyDescent="0.25">
      <c r="A65" t="s">
        <v>126</v>
      </c>
      <c r="B65" t="s">
        <v>140</v>
      </c>
      <c r="C65" t="s">
        <v>134</v>
      </c>
      <c r="D65" s="3">
        <v>45975</v>
      </c>
      <c r="E65" t="s">
        <v>41</v>
      </c>
      <c r="F65" t="s">
        <v>23</v>
      </c>
      <c r="G65" t="str">
        <f>"/code/TS2-"&amp;E65&amp;"/mlong"</f>
        <v>/code/TS2-S2/mlong</v>
      </c>
      <c r="H65" t="s">
        <v>128</v>
      </c>
      <c r="I65" t="str">
        <f t="shared" si="0"/>
        <v>/output/TS2/S2/mLongT5/CPU</v>
      </c>
      <c r="J65">
        <v>24335.959905432999</v>
      </c>
      <c r="K65">
        <v>0.35486699999999999</v>
      </c>
      <c r="L65">
        <v>0.21968199999999999</v>
      </c>
      <c r="M65">
        <v>32.5</v>
      </c>
      <c r="N65" t="s">
        <v>25</v>
      </c>
      <c r="O65" t="s">
        <v>25</v>
      </c>
      <c r="P65">
        <v>0.135185</v>
      </c>
      <c r="Q65">
        <v>20</v>
      </c>
      <c r="R65" s="4" t="s">
        <v>145</v>
      </c>
      <c r="S65" t="s">
        <v>146</v>
      </c>
    </row>
    <row r="66" spans="1:19" ht="15" customHeight="1" x14ac:dyDescent="0.25">
      <c r="A66" t="s">
        <v>126</v>
      </c>
      <c r="B66" t="s">
        <v>140</v>
      </c>
      <c r="C66" t="s">
        <v>134</v>
      </c>
      <c r="D66" t="s">
        <v>25</v>
      </c>
      <c r="E66" t="s">
        <v>41</v>
      </c>
      <c r="F66" t="s">
        <v>48</v>
      </c>
      <c r="G66" t="s">
        <v>25</v>
      </c>
      <c r="H66" t="s">
        <v>25</v>
      </c>
      <c r="I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</row>
    <row r="67" spans="1:19" ht="15" customHeight="1" x14ac:dyDescent="0.25">
      <c r="A67" t="s">
        <v>126</v>
      </c>
      <c r="B67" t="s">
        <v>140</v>
      </c>
      <c r="C67" t="s">
        <v>137</v>
      </c>
      <c r="D67" s="3">
        <v>45967</v>
      </c>
      <c r="E67" t="s">
        <v>41</v>
      </c>
      <c r="F67" t="s">
        <v>23</v>
      </c>
      <c r="G67" t="str">
        <f>"/code/TS2-"&amp;E67&amp;"/mixtral"</f>
        <v>/code/TS2-S2/mixtral</v>
      </c>
      <c r="H67" t="s">
        <v>128</v>
      </c>
      <c r="I67" t="str">
        <f t="shared" ref="I67:I130" si="3">"/output/"&amp;B67&amp;"/"&amp;C67&amp;"/"&amp;F67</f>
        <v>/output/TS2/S2/Mistral/CPU</v>
      </c>
      <c r="J67">
        <v>124585.94871110001</v>
      </c>
      <c r="K67">
        <v>9.6885820000000002</v>
      </c>
      <c r="L67">
        <v>8.996556</v>
      </c>
      <c r="M67">
        <v>260</v>
      </c>
      <c r="N67" t="s">
        <v>25</v>
      </c>
      <c r="O67" t="s">
        <v>25</v>
      </c>
      <c r="P67">
        <v>0.692025</v>
      </c>
      <c r="Q67">
        <v>20</v>
      </c>
      <c r="R67" s="4" t="s">
        <v>147</v>
      </c>
      <c r="S67" t="s">
        <v>148</v>
      </c>
    </row>
    <row r="68" spans="1:19" ht="15" customHeight="1" x14ac:dyDescent="0.25">
      <c r="A68" t="s">
        <v>126</v>
      </c>
      <c r="B68" t="s">
        <v>140</v>
      </c>
      <c r="C68" t="s">
        <v>137</v>
      </c>
      <c r="D68" s="3">
        <v>46028</v>
      </c>
      <c r="E68" t="s">
        <v>41</v>
      </c>
      <c r="F68" t="s">
        <v>48</v>
      </c>
      <c r="G68" t="str">
        <f>"/code/TS2-"&amp;E68&amp;"/mixtral"</f>
        <v>/code/TS2-S2/mixtral</v>
      </c>
      <c r="H68" t="s">
        <v>128</v>
      </c>
      <c r="I68" t="str">
        <f t="shared" si="3"/>
        <v>/output/TS2/S2/Mistral/GPU</v>
      </c>
      <c r="J68">
        <v>71435.425405399903</v>
      </c>
      <c r="K68">
        <v>5.5552609999999998</v>
      </c>
      <c r="L68">
        <v>5.1584659999999998</v>
      </c>
      <c r="M68">
        <v>260</v>
      </c>
      <c r="N68" t="s">
        <v>25</v>
      </c>
      <c r="O68" t="s">
        <v>25</v>
      </c>
      <c r="P68">
        <v>0.39679500000000001</v>
      </c>
      <c r="Q68">
        <v>20</v>
      </c>
      <c r="R68" s="4" t="s">
        <v>786</v>
      </c>
      <c r="S68" t="s">
        <v>787</v>
      </c>
    </row>
    <row r="70" spans="1:19" ht="15" customHeight="1" x14ac:dyDescent="0.25">
      <c r="A70" t="s">
        <v>126</v>
      </c>
      <c r="B70" t="s">
        <v>149</v>
      </c>
      <c r="C70" t="s">
        <v>73</v>
      </c>
      <c r="D70" s="3">
        <v>45943</v>
      </c>
      <c r="E70" t="s">
        <v>54</v>
      </c>
      <c r="F70" t="s">
        <v>23</v>
      </c>
      <c r="G70" t="str">
        <f t="shared" si="2"/>
        <v>/code/TS2-S3/lex</v>
      </c>
      <c r="H70" t="s">
        <v>128</v>
      </c>
      <c r="I70" t="str">
        <f t="shared" si="3"/>
        <v>/output/TS2/S3/LexRank/CPU</v>
      </c>
      <c r="J70">
        <v>63.4280409269995</v>
      </c>
      <c r="K70">
        <v>9.0300000000000005E-4</v>
      </c>
      <c r="L70">
        <v>5.5900000000000004E-4</v>
      </c>
      <c r="M70">
        <v>32.5</v>
      </c>
      <c r="N70" t="s">
        <v>25</v>
      </c>
      <c r="O70" t="s">
        <v>25</v>
      </c>
      <c r="P70">
        <v>3.4400000000000001E-4</v>
      </c>
      <c r="Q70">
        <v>20</v>
      </c>
      <c r="R70" s="4" t="s">
        <v>150</v>
      </c>
      <c r="S70" t="s">
        <v>151</v>
      </c>
    </row>
    <row r="71" spans="1:19" ht="15" customHeight="1" x14ac:dyDescent="0.25">
      <c r="A71" t="s">
        <v>126</v>
      </c>
      <c r="B71" t="s">
        <v>149</v>
      </c>
      <c r="C71" t="s">
        <v>131</v>
      </c>
      <c r="D71" s="3">
        <v>45943</v>
      </c>
      <c r="E71" t="s">
        <v>54</v>
      </c>
      <c r="F71" t="s">
        <v>23</v>
      </c>
      <c r="G71" t="str">
        <f>"/code/TS2-"&amp;E71&amp;"/bert2bert"</f>
        <v>/code/TS2-S3/bert2bert</v>
      </c>
      <c r="H71" t="s">
        <v>128</v>
      </c>
      <c r="I71" t="str">
        <f t="shared" si="3"/>
        <v>/output/TS2/S3/Bert/CPU</v>
      </c>
      <c r="J71">
        <v>1480.9923544119999</v>
      </c>
      <c r="K71">
        <v>2.1576000000000001E-2</v>
      </c>
      <c r="L71">
        <v>1.3356E-2</v>
      </c>
      <c r="M71">
        <v>32.5</v>
      </c>
      <c r="N71" t="s">
        <v>25</v>
      </c>
      <c r="O71" t="s">
        <v>25</v>
      </c>
      <c r="P71">
        <v>8.2190000000000006E-3</v>
      </c>
      <c r="Q71">
        <v>20</v>
      </c>
      <c r="R71" s="4" t="s">
        <v>152</v>
      </c>
      <c r="S71" t="s">
        <v>153</v>
      </c>
    </row>
    <row r="72" spans="1:19" ht="15" customHeight="1" x14ac:dyDescent="0.25">
      <c r="A72" t="s">
        <v>126</v>
      </c>
      <c r="B72" t="s">
        <v>149</v>
      </c>
      <c r="C72" t="s">
        <v>131</v>
      </c>
      <c r="D72" s="3">
        <v>45942</v>
      </c>
      <c r="E72" t="s">
        <v>54</v>
      </c>
      <c r="F72" t="s">
        <v>48</v>
      </c>
      <c r="G72" t="str">
        <f>"/code/TS2-"&amp;E72&amp;"/bert2bert"</f>
        <v>/code/TS2-S3/bert2bert</v>
      </c>
      <c r="H72" t="s">
        <v>128</v>
      </c>
      <c r="I72" t="str">
        <f t="shared" si="3"/>
        <v>/output/TS2/S3/Bert/GPU</v>
      </c>
      <c r="J72">
        <v>387.47260097399999</v>
      </c>
      <c r="K72">
        <v>1.4402E-2</v>
      </c>
      <c r="L72">
        <v>3.4840000000000001E-3</v>
      </c>
      <c r="M72">
        <v>32.5</v>
      </c>
      <c r="N72">
        <v>8.7740000000000005E-3</v>
      </c>
      <c r="O72">
        <v>81.222103156416196</v>
      </c>
      <c r="P72">
        <v>2.1440000000000001E-3</v>
      </c>
      <c r="Q72">
        <v>20</v>
      </c>
      <c r="R72" s="4" t="s">
        <v>154</v>
      </c>
      <c r="S72" t="s">
        <v>155</v>
      </c>
    </row>
    <row r="73" spans="1:19" ht="15" customHeight="1" x14ac:dyDescent="0.25">
      <c r="A73" t="s">
        <v>126</v>
      </c>
      <c r="B73" t="s">
        <v>149</v>
      </c>
      <c r="C73" t="s">
        <v>134</v>
      </c>
      <c r="D73" s="3">
        <v>45975</v>
      </c>
      <c r="E73" t="s">
        <v>54</v>
      </c>
      <c r="F73" t="s">
        <v>23</v>
      </c>
      <c r="G73" t="str">
        <f>"/code/TS2-"&amp;E73&amp;"/mlong"</f>
        <v>/code/TS2-S3/mlong</v>
      </c>
      <c r="H73" t="s">
        <v>128</v>
      </c>
      <c r="I73" t="str">
        <f t="shared" si="3"/>
        <v>/output/TS2/S3/mLongT5/CPU</v>
      </c>
      <c r="J73">
        <v>18414.631976744</v>
      </c>
      <c r="K73">
        <v>0.26851799999999998</v>
      </c>
      <c r="L73">
        <v>0.16622700000000001</v>
      </c>
      <c r="M73">
        <v>32.5</v>
      </c>
      <c r="N73" t="s">
        <v>25</v>
      </c>
      <c r="O73" t="s">
        <v>25</v>
      </c>
      <c r="P73">
        <v>0.10229100000000001</v>
      </c>
      <c r="Q73">
        <v>20</v>
      </c>
      <c r="R73" s="4" t="s">
        <v>156</v>
      </c>
      <c r="S73" t="s">
        <v>157</v>
      </c>
    </row>
    <row r="74" spans="1:19" ht="15" customHeight="1" x14ac:dyDescent="0.25">
      <c r="A74" t="s">
        <v>126</v>
      </c>
      <c r="B74" t="s">
        <v>149</v>
      </c>
      <c r="C74" t="s">
        <v>134</v>
      </c>
      <c r="D74" s="3">
        <v>45975</v>
      </c>
      <c r="E74" t="s">
        <v>54</v>
      </c>
      <c r="F74" t="s">
        <v>48</v>
      </c>
      <c r="G74" t="str">
        <f>"/code/TS2-"&amp;E74&amp;"/mlong"</f>
        <v>/code/TS2-S3/mlong</v>
      </c>
      <c r="H74" t="s">
        <v>128</v>
      </c>
      <c r="I74" t="str">
        <f t="shared" si="3"/>
        <v>/output/TS2/S3/mLongT5/GPU</v>
      </c>
      <c r="J74">
        <v>2209.0436586239898</v>
      </c>
      <c r="K74">
        <v>0.10384500000000001</v>
      </c>
      <c r="L74">
        <v>1.9927E-2</v>
      </c>
      <c r="M74">
        <v>32.5</v>
      </c>
      <c r="N74">
        <v>7.1654999999999996E-2</v>
      </c>
      <c r="O74">
        <v>110.54342300008101</v>
      </c>
      <c r="P74">
        <v>1.2263E-2</v>
      </c>
      <c r="Q74">
        <v>20</v>
      </c>
      <c r="R74" s="4" t="s">
        <v>158</v>
      </c>
      <c r="S74" t="s">
        <v>159</v>
      </c>
    </row>
    <row r="75" spans="1:19" ht="15" customHeight="1" x14ac:dyDescent="0.25">
      <c r="A75" t="s">
        <v>126</v>
      </c>
      <c r="B75" t="s">
        <v>149</v>
      </c>
      <c r="C75" t="s">
        <v>137</v>
      </c>
      <c r="D75" s="3">
        <v>45947</v>
      </c>
      <c r="E75" t="s">
        <v>54</v>
      </c>
      <c r="F75" t="s">
        <v>23</v>
      </c>
      <c r="G75" t="str">
        <f>"/code/TS2-"&amp;E75&amp;"/mixtral"</f>
        <v>/code/TS2-S3/mixtral</v>
      </c>
      <c r="H75" t="s">
        <v>128</v>
      </c>
      <c r="I75" t="str">
        <f t="shared" si="3"/>
        <v>/output/TS2/S3/Mistral/CPU</v>
      </c>
      <c r="J75">
        <v>42375.671860100003</v>
      </c>
      <c r="K75">
        <v>6.4461349999999999</v>
      </c>
      <c r="L75">
        <v>6.1198499999999996</v>
      </c>
      <c r="M75">
        <v>520</v>
      </c>
      <c r="N75" t="s">
        <v>25</v>
      </c>
      <c r="O75" t="s">
        <v>25</v>
      </c>
      <c r="P75">
        <v>0.235371</v>
      </c>
      <c r="Q75">
        <v>20</v>
      </c>
      <c r="R75" s="4" t="s">
        <v>160</v>
      </c>
      <c r="S75" t="s">
        <v>161</v>
      </c>
    </row>
    <row r="76" spans="1:19" ht="15" customHeight="1" x14ac:dyDescent="0.25">
      <c r="A76" t="s">
        <v>126</v>
      </c>
      <c r="B76" t="s">
        <v>149</v>
      </c>
      <c r="C76" t="s">
        <v>137</v>
      </c>
      <c r="D76" s="3">
        <v>45975</v>
      </c>
      <c r="E76" t="s">
        <v>54</v>
      </c>
      <c r="F76" t="s">
        <v>48</v>
      </c>
      <c r="G76" t="str">
        <f>"/code/TS2-"&amp;E76&amp;"/mixtral"</f>
        <v>/code/TS2-S3/mixtral</v>
      </c>
      <c r="H76" t="s">
        <v>128</v>
      </c>
      <c r="I76" t="str">
        <f t="shared" si="3"/>
        <v>/output/TS2/S3/Mistral/GPU</v>
      </c>
      <c r="J76" s="5">
        <v>11735.2418805999</v>
      </c>
      <c r="K76" s="5">
        <v>1.946502</v>
      </c>
      <c r="L76" s="5">
        <v>1.694644</v>
      </c>
      <c r="M76" s="5">
        <v>520</v>
      </c>
      <c r="N76" s="5">
        <v>0.18668199999999999</v>
      </c>
      <c r="O76" s="5">
        <v>51.354630070343497</v>
      </c>
      <c r="P76" s="5">
        <v>6.5175999999999998E-2</v>
      </c>
      <c r="Q76" s="5">
        <v>20</v>
      </c>
      <c r="R76" s="6" t="s">
        <v>162</v>
      </c>
      <c r="S76" s="5" t="s">
        <v>163</v>
      </c>
    </row>
    <row r="79" spans="1:19" ht="15" customHeight="1" x14ac:dyDescent="0.25">
      <c r="A79" t="s">
        <v>164</v>
      </c>
      <c r="B79" t="s">
        <v>165</v>
      </c>
      <c r="C79" t="s">
        <v>73</v>
      </c>
      <c r="D79" s="3">
        <v>45947</v>
      </c>
      <c r="E79" t="s">
        <v>22</v>
      </c>
      <c r="F79" t="s">
        <v>23</v>
      </c>
      <c r="G79" t="str">
        <f>"/code/TS3-"&amp;E79&amp;"/lexrank"</f>
        <v>/code/TS3-S1/lexrank</v>
      </c>
      <c r="H79" t="s">
        <v>166</v>
      </c>
      <c r="I79" t="str">
        <f t="shared" si="3"/>
        <v>/output/TS3/S1/LexRank/CPU</v>
      </c>
      <c r="J79">
        <v>1.77926535500046</v>
      </c>
      <c r="K79">
        <v>1.9999999999999999E-6</v>
      </c>
      <c r="L79">
        <v>9.9999999999999995E-7</v>
      </c>
      <c r="M79">
        <v>14</v>
      </c>
      <c r="N79" t="s">
        <v>25</v>
      </c>
      <c r="O79" t="s">
        <v>25</v>
      </c>
      <c r="P79">
        <v>9.9999999999999995E-7</v>
      </c>
      <c r="Q79">
        <v>10</v>
      </c>
      <c r="R79" s="4" t="s">
        <v>167</v>
      </c>
      <c r="S79" t="s">
        <v>168</v>
      </c>
    </row>
    <row r="80" spans="1:19" ht="15" customHeight="1" x14ac:dyDescent="0.25">
      <c r="A80" t="s">
        <v>164</v>
      </c>
      <c r="B80" t="s">
        <v>165</v>
      </c>
      <c r="C80" t="s">
        <v>73</v>
      </c>
      <c r="D80" s="3">
        <v>45947</v>
      </c>
      <c r="E80" t="s">
        <v>22</v>
      </c>
      <c r="F80" t="s">
        <v>23</v>
      </c>
      <c r="G80" t="str">
        <f t="shared" ref="G80:G83" si="4">"/code/TS3-"&amp;E80&amp;"/lexrank"</f>
        <v>/code/TS3-S1/lexrank</v>
      </c>
      <c r="H80" t="s">
        <v>169</v>
      </c>
      <c r="I80" t="str">
        <f t="shared" si="3"/>
        <v>/output/TS3/S1/LexRank/CPU</v>
      </c>
      <c r="J80">
        <v>1.6957754329996499</v>
      </c>
      <c r="K80">
        <v>9.9999999999999995E-7</v>
      </c>
      <c r="L80">
        <v>9.9999999999999995E-7</v>
      </c>
      <c r="M80">
        <v>14</v>
      </c>
      <c r="N80" t="s">
        <v>25</v>
      </c>
      <c r="O80" t="s">
        <v>25</v>
      </c>
      <c r="P80">
        <v>9.9999999999999995E-7</v>
      </c>
      <c r="Q80">
        <v>10</v>
      </c>
      <c r="R80" s="4" t="s">
        <v>170</v>
      </c>
      <c r="S80" t="s">
        <v>171</v>
      </c>
    </row>
    <row r="81" spans="1:19" ht="15" customHeight="1" x14ac:dyDescent="0.25">
      <c r="A81" t="s">
        <v>164</v>
      </c>
      <c r="B81" t="s">
        <v>165</v>
      </c>
      <c r="C81" t="s">
        <v>73</v>
      </c>
      <c r="D81" s="3">
        <v>45947</v>
      </c>
      <c r="E81" t="s">
        <v>22</v>
      </c>
      <c r="F81" t="s">
        <v>23</v>
      </c>
      <c r="G81" t="str">
        <f t="shared" si="4"/>
        <v>/code/TS3-S1/lexrank</v>
      </c>
      <c r="H81" t="s">
        <v>172</v>
      </c>
      <c r="I81" t="str">
        <f t="shared" si="3"/>
        <v>/output/TS3/S1/LexRank/CPU</v>
      </c>
      <c r="J81">
        <v>3.32307962099912</v>
      </c>
      <c r="K81">
        <v>1.1E-5</v>
      </c>
      <c r="L81">
        <v>6.0000000000000002E-6</v>
      </c>
      <c r="M81">
        <v>14</v>
      </c>
      <c r="N81" t="s">
        <v>25</v>
      </c>
      <c r="O81" t="s">
        <v>25</v>
      </c>
      <c r="P81">
        <v>5.0000000000000004E-6</v>
      </c>
      <c r="Q81">
        <v>10</v>
      </c>
      <c r="R81" s="4" t="s">
        <v>173</v>
      </c>
      <c r="S81" t="s">
        <v>174</v>
      </c>
    </row>
    <row r="82" spans="1:19" ht="15" customHeight="1" x14ac:dyDescent="0.25">
      <c r="A82" t="s">
        <v>164</v>
      </c>
      <c r="B82" t="s">
        <v>165</v>
      </c>
      <c r="C82" t="s">
        <v>73</v>
      </c>
      <c r="D82" s="3">
        <v>45947</v>
      </c>
      <c r="E82" t="s">
        <v>22</v>
      </c>
      <c r="F82" t="s">
        <v>23</v>
      </c>
      <c r="G82" t="str">
        <f t="shared" si="4"/>
        <v>/code/TS3-S1/lexrank</v>
      </c>
      <c r="H82" t="s">
        <v>175</v>
      </c>
      <c r="I82" t="str">
        <f t="shared" si="3"/>
        <v>/output/TS3/S1/LexRank/CPU</v>
      </c>
      <c r="J82">
        <v>3.71681327799979</v>
      </c>
      <c r="K82">
        <v>1.4E-5</v>
      </c>
      <c r="L82">
        <v>7.9999999999999996E-6</v>
      </c>
      <c r="M82">
        <v>14</v>
      </c>
      <c r="N82" t="s">
        <v>25</v>
      </c>
      <c r="O82" t="s">
        <v>25</v>
      </c>
      <c r="P82">
        <v>6.0000000000000002E-6</v>
      </c>
      <c r="Q82">
        <v>10</v>
      </c>
      <c r="R82" s="4" t="s">
        <v>176</v>
      </c>
      <c r="S82" t="s">
        <v>177</v>
      </c>
    </row>
    <row r="83" spans="1:19" ht="15" customHeight="1" x14ac:dyDescent="0.25">
      <c r="A83" t="s">
        <v>164</v>
      </c>
      <c r="B83" t="s">
        <v>165</v>
      </c>
      <c r="C83" t="s">
        <v>73</v>
      </c>
      <c r="D83" s="3">
        <v>45947</v>
      </c>
      <c r="E83" t="s">
        <v>22</v>
      </c>
      <c r="F83" t="s">
        <v>23</v>
      </c>
      <c r="G83" t="str">
        <f t="shared" si="4"/>
        <v>/code/TS3-S1/lexrank</v>
      </c>
      <c r="H83" t="s">
        <v>178</v>
      </c>
      <c r="I83" t="str">
        <f t="shared" si="3"/>
        <v>/output/TS3/S1/LexRank/CPU</v>
      </c>
      <c r="J83">
        <v>1.98883720899993</v>
      </c>
      <c r="K83">
        <v>3.0000000000000001E-6</v>
      </c>
      <c r="L83">
        <v>1.9999999999999999E-6</v>
      </c>
      <c r="M83">
        <v>14</v>
      </c>
      <c r="N83" t="s">
        <v>25</v>
      </c>
      <c r="O83" t="s">
        <v>25</v>
      </c>
      <c r="P83">
        <v>9.9999999999999995E-7</v>
      </c>
      <c r="Q83">
        <v>10</v>
      </c>
      <c r="R83" s="4" t="s">
        <v>179</v>
      </c>
      <c r="S83" t="s">
        <v>180</v>
      </c>
    </row>
    <row r="84" spans="1:19" ht="15" customHeight="1" x14ac:dyDescent="0.25">
      <c r="A84" t="s">
        <v>164</v>
      </c>
      <c r="B84" t="s">
        <v>165</v>
      </c>
      <c r="C84" t="s">
        <v>134</v>
      </c>
      <c r="D84" s="3">
        <v>45952</v>
      </c>
      <c r="E84" t="s">
        <v>22</v>
      </c>
      <c r="F84" t="s">
        <v>23</v>
      </c>
      <c r="G84" t="str">
        <f>"/code/TS3-"&amp;E84&amp;"/mlongt5"</f>
        <v>/code/TS3-S1/mlongt5</v>
      </c>
      <c r="H84" t="s">
        <v>166</v>
      </c>
      <c r="I84" t="str">
        <f t="shared" si="3"/>
        <v>/output/TS3/S1/mLongT5/CPU</v>
      </c>
      <c r="J84">
        <v>545.48165473300003</v>
      </c>
      <c r="K84">
        <v>3.627E-3</v>
      </c>
      <c r="L84">
        <v>2.1159999999999998E-3</v>
      </c>
      <c r="M84">
        <v>14</v>
      </c>
      <c r="N84" t="s">
        <v>25</v>
      </c>
      <c r="O84" t="s">
        <v>25</v>
      </c>
      <c r="P84">
        <v>1.511E-3</v>
      </c>
      <c r="Q84">
        <v>10</v>
      </c>
      <c r="R84" s="4" t="s">
        <v>181</v>
      </c>
      <c r="S84" t="s">
        <v>182</v>
      </c>
    </row>
    <row r="85" spans="1:19" ht="15" customHeight="1" x14ac:dyDescent="0.25">
      <c r="A85" t="s">
        <v>164</v>
      </c>
      <c r="B85" t="s">
        <v>165</v>
      </c>
      <c r="C85" t="s">
        <v>134</v>
      </c>
      <c r="D85" s="3">
        <v>45952</v>
      </c>
      <c r="E85" t="s">
        <v>22</v>
      </c>
      <c r="F85" t="s">
        <v>23</v>
      </c>
      <c r="G85" t="str">
        <f>"/code/TS3-"&amp;E85&amp;"/mlongt5"</f>
        <v>/code/TS3-S1/mlongt5</v>
      </c>
      <c r="H85" t="s">
        <v>169</v>
      </c>
      <c r="I85" t="str">
        <f t="shared" si="3"/>
        <v>/output/TS3/S1/mLongT5/CPU</v>
      </c>
      <c r="J85">
        <v>282.09489571199902</v>
      </c>
      <c r="K85">
        <v>1.8710000000000001E-3</v>
      </c>
      <c r="L85">
        <v>1.0920000000000001E-3</v>
      </c>
      <c r="M85">
        <v>14</v>
      </c>
      <c r="N85" t="s">
        <v>25</v>
      </c>
      <c r="O85" t="s">
        <v>25</v>
      </c>
      <c r="P85">
        <v>7.7999999999999999E-4</v>
      </c>
      <c r="Q85">
        <v>10</v>
      </c>
      <c r="R85" s="4" t="s">
        <v>183</v>
      </c>
      <c r="S85" t="s">
        <v>184</v>
      </c>
    </row>
    <row r="86" spans="1:19" ht="15" customHeight="1" x14ac:dyDescent="0.25">
      <c r="A86" t="s">
        <v>164</v>
      </c>
      <c r="B86" t="s">
        <v>165</v>
      </c>
      <c r="C86" t="s">
        <v>134</v>
      </c>
      <c r="D86" s="3">
        <v>45952</v>
      </c>
      <c r="E86" t="s">
        <v>22</v>
      </c>
      <c r="F86" t="s">
        <v>23</v>
      </c>
      <c r="G86" t="str">
        <f>"/code/TS3-"&amp;E86&amp;"/mlongt5"</f>
        <v>/code/TS3-S1/mlongt5</v>
      </c>
      <c r="H86" t="s">
        <v>172</v>
      </c>
      <c r="I86" t="str">
        <f t="shared" si="3"/>
        <v>/output/TS3/S1/mLongT5/CPU</v>
      </c>
      <c r="J86">
        <v>1329.8535665939901</v>
      </c>
      <c r="K86">
        <v>8.848E-3</v>
      </c>
      <c r="L86">
        <v>5.1640000000000002E-3</v>
      </c>
      <c r="M86">
        <v>14</v>
      </c>
      <c r="N86" t="s">
        <v>25</v>
      </c>
      <c r="O86" t="s">
        <v>25</v>
      </c>
      <c r="P86">
        <v>3.6840000000000002E-3</v>
      </c>
      <c r="Q86">
        <v>10</v>
      </c>
      <c r="R86" s="4" t="s">
        <v>185</v>
      </c>
      <c r="S86" t="s">
        <v>186</v>
      </c>
    </row>
    <row r="87" spans="1:19" ht="15" customHeight="1" x14ac:dyDescent="0.25">
      <c r="A87" t="s">
        <v>164</v>
      </c>
      <c r="B87" t="s">
        <v>165</v>
      </c>
      <c r="C87" t="s">
        <v>134</v>
      </c>
      <c r="D87" s="3">
        <v>45952</v>
      </c>
      <c r="E87" t="s">
        <v>22</v>
      </c>
      <c r="F87" t="s">
        <v>23</v>
      </c>
      <c r="G87" t="str">
        <f>"/code/TS3-"&amp;E87&amp;"/mlongt5"</f>
        <v>/code/TS3-S1/mlongt5</v>
      </c>
      <c r="H87" t="s">
        <v>175</v>
      </c>
      <c r="I87" t="str">
        <f t="shared" si="3"/>
        <v>/output/TS3/S1/mLongT5/CPU</v>
      </c>
      <c r="J87">
        <v>879.11570298599997</v>
      </c>
      <c r="K87">
        <v>5.8510000000000003E-3</v>
      </c>
      <c r="L87">
        <v>3.4129999999999998E-3</v>
      </c>
      <c r="M87">
        <v>14</v>
      </c>
      <c r="N87" t="s">
        <v>25</v>
      </c>
      <c r="O87" t="s">
        <v>25</v>
      </c>
      <c r="P87">
        <v>2.4380000000000001E-3</v>
      </c>
      <c r="Q87">
        <v>10</v>
      </c>
      <c r="R87" s="4" t="s">
        <v>187</v>
      </c>
      <c r="S87" t="s">
        <v>188</v>
      </c>
    </row>
    <row r="88" spans="1:19" ht="15" customHeight="1" x14ac:dyDescent="0.25">
      <c r="A88" t="s">
        <v>164</v>
      </c>
      <c r="B88" t="s">
        <v>165</v>
      </c>
      <c r="C88" t="s">
        <v>134</v>
      </c>
      <c r="D88" s="3">
        <v>45952</v>
      </c>
      <c r="E88" t="s">
        <v>22</v>
      </c>
      <c r="F88" t="s">
        <v>23</v>
      </c>
      <c r="G88" t="str">
        <f>"/code/TS3-"&amp;E88&amp;"/mlongt5"</f>
        <v>/code/TS3-S1/mlongt5</v>
      </c>
      <c r="H88" t="s">
        <v>178</v>
      </c>
      <c r="I88" t="str">
        <f t="shared" si="3"/>
        <v>/output/TS3/S1/mLongT5/CPU</v>
      </c>
      <c r="J88">
        <v>237.321181942999</v>
      </c>
      <c r="K88">
        <v>1.573E-3</v>
      </c>
      <c r="L88">
        <v>9.1799999999999998E-4</v>
      </c>
      <c r="M88">
        <v>14</v>
      </c>
      <c r="N88" t="s">
        <v>25</v>
      </c>
      <c r="O88" t="s">
        <v>25</v>
      </c>
      <c r="P88">
        <v>6.5499999999999998E-4</v>
      </c>
      <c r="Q88">
        <v>10</v>
      </c>
      <c r="R88" s="4" t="s">
        <v>189</v>
      </c>
      <c r="S88" t="s">
        <v>190</v>
      </c>
    </row>
    <row r="89" spans="1:19" ht="15" customHeight="1" x14ac:dyDescent="0.25">
      <c r="A89" t="s">
        <v>164</v>
      </c>
      <c r="B89" t="s">
        <v>165</v>
      </c>
      <c r="C89" t="s">
        <v>191</v>
      </c>
      <c r="D89" s="3">
        <v>45952</v>
      </c>
      <c r="E89" t="s">
        <v>22</v>
      </c>
      <c r="F89" t="s">
        <v>23</v>
      </c>
      <c r="G89" t="str">
        <f>"/code/TS3-"&amp;E89&amp;"/mistralnemo"</f>
        <v>/code/TS3-S1/mistralnemo</v>
      </c>
      <c r="H89" t="s">
        <v>166</v>
      </c>
      <c r="I89" t="str">
        <f t="shared" si="3"/>
        <v>/output/TS3/S1/Mistral Nemo/CPU</v>
      </c>
      <c r="J89">
        <v>1446.2061505879899</v>
      </c>
      <c r="K89">
        <v>9.6310000000000007E-3</v>
      </c>
      <c r="L89">
        <v>5.6179999999999997E-3</v>
      </c>
      <c r="M89">
        <v>14</v>
      </c>
      <c r="N89" t="s">
        <v>25</v>
      </c>
      <c r="O89" t="s">
        <v>25</v>
      </c>
      <c r="P89">
        <v>4.0130000000000001E-3</v>
      </c>
      <c r="Q89">
        <v>10</v>
      </c>
      <c r="R89" s="4" t="s">
        <v>192</v>
      </c>
      <c r="S89" t="s">
        <v>193</v>
      </c>
    </row>
    <row r="90" spans="1:19" ht="15" customHeight="1" x14ac:dyDescent="0.25">
      <c r="A90" t="s">
        <v>164</v>
      </c>
      <c r="B90" t="s">
        <v>165</v>
      </c>
      <c r="C90" t="s">
        <v>191</v>
      </c>
      <c r="D90" s="3">
        <v>45952</v>
      </c>
      <c r="E90" t="s">
        <v>22</v>
      </c>
      <c r="F90" t="s">
        <v>23</v>
      </c>
      <c r="G90" t="str">
        <f>"/code/TS3-"&amp;E90&amp;"/mistralnemo"</f>
        <v>/code/TS3-S1/mistralnemo</v>
      </c>
      <c r="H90" t="s">
        <v>169</v>
      </c>
      <c r="I90" t="str">
        <f t="shared" si="3"/>
        <v>/output/TS3/S1/Mistral Nemo/CPU</v>
      </c>
      <c r="J90">
        <v>763.00418608000098</v>
      </c>
      <c r="K90">
        <v>5.0769999999999999E-3</v>
      </c>
      <c r="L90">
        <v>2.9619999999999998E-3</v>
      </c>
      <c r="M90">
        <v>14</v>
      </c>
      <c r="N90" t="s">
        <v>25</v>
      </c>
      <c r="O90" t="s">
        <v>25</v>
      </c>
      <c r="P90">
        <v>2.1150000000000001E-3</v>
      </c>
      <c r="Q90">
        <v>10</v>
      </c>
      <c r="R90" s="4" t="s">
        <v>194</v>
      </c>
      <c r="S90" t="s">
        <v>195</v>
      </c>
    </row>
    <row r="91" spans="1:19" ht="15" customHeight="1" x14ac:dyDescent="0.25">
      <c r="A91" t="s">
        <v>164</v>
      </c>
      <c r="B91" t="s">
        <v>165</v>
      </c>
      <c r="C91" t="s">
        <v>191</v>
      </c>
      <c r="D91" s="3">
        <v>45952</v>
      </c>
      <c r="E91" t="s">
        <v>22</v>
      </c>
      <c r="F91" t="s">
        <v>23</v>
      </c>
      <c r="G91" t="str">
        <f>"/code/TS3-"&amp;E91&amp;"/mistralnemo"</f>
        <v>/code/TS3-S1/mistralnemo</v>
      </c>
      <c r="H91" t="s">
        <v>172</v>
      </c>
      <c r="I91" t="str">
        <f t="shared" si="3"/>
        <v>/output/TS3/S1/Mistral Nemo/CPU</v>
      </c>
      <c r="J91">
        <v>2797.4379917209999</v>
      </c>
      <c r="K91">
        <v>1.0873000000000001E-2</v>
      </c>
      <c r="L91">
        <v>2.3E-5</v>
      </c>
      <c r="M91">
        <v>14</v>
      </c>
      <c r="N91" t="s">
        <v>25</v>
      </c>
      <c r="O91" t="s">
        <v>25</v>
      </c>
      <c r="P91">
        <v>7.7660000000000003E-3</v>
      </c>
      <c r="Q91">
        <v>10</v>
      </c>
      <c r="R91" s="4" t="s">
        <v>196</v>
      </c>
      <c r="S91" t="s">
        <v>197</v>
      </c>
    </row>
    <row r="92" spans="1:19" ht="15" customHeight="1" x14ac:dyDescent="0.25">
      <c r="A92" t="s">
        <v>164</v>
      </c>
      <c r="B92" t="s">
        <v>165</v>
      </c>
      <c r="C92" t="s">
        <v>191</v>
      </c>
      <c r="D92" s="3">
        <v>45956</v>
      </c>
      <c r="E92" t="s">
        <v>22</v>
      </c>
      <c r="F92" t="s">
        <v>23</v>
      </c>
      <c r="G92" t="str">
        <f>"/code/TS3-"&amp;E92&amp;"/mistralnemo"</f>
        <v>/code/TS3-S1/mistralnemo</v>
      </c>
      <c r="H92" t="s">
        <v>175</v>
      </c>
      <c r="I92" t="str">
        <f t="shared" si="3"/>
        <v>/output/TS3/S1/Mistral Nemo/CPU</v>
      </c>
      <c r="J92">
        <v>3277.0762211770002</v>
      </c>
      <c r="K92">
        <v>2.1836000000000001E-2</v>
      </c>
      <c r="L92">
        <v>1.2737999999999999E-2</v>
      </c>
      <c r="M92">
        <v>14</v>
      </c>
      <c r="N92" t="s">
        <v>25</v>
      </c>
      <c r="O92" t="s">
        <v>25</v>
      </c>
      <c r="P92">
        <v>9.0980000000000002E-3</v>
      </c>
      <c r="Q92">
        <v>10</v>
      </c>
      <c r="R92" s="4" t="s">
        <v>198</v>
      </c>
      <c r="S92" t="s">
        <v>199</v>
      </c>
    </row>
    <row r="93" spans="1:19" ht="15" customHeight="1" x14ac:dyDescent="0.25">
      <c r="A93" t="s">
        <v>164</v>
      </c>
      <c r="B93" t="s">
        <v>165</v>
      </c>
      <c r="C93" t="s">
        <v>191</v>
      </c>
      <c r="D93" s="3">
        <v>45956</v>
      </c>
      <c r="E93" t="s">
        <v>22</v>
      </c>
      <c r="F93" t="s">
        <v>23</v>
      </c>
      <c r="G93" t="str">
        <f>"/code/TS3-"&amp;E93&amp;"/mistralnemo"</f>
        <v>/code/TS3-S1/mistralnemo</v>
      </c>
      <c r="H93" t="s">
        <v>178</v>
      </c>
      <c r="I93" t="str">
        <f t="shared" si="3"/>
        <v>/output/TS3/S1/Mistral Nemo/CPU</v>
      </c>
      <c r="J93">
        <v>2310.4216845769902</v>
      </c>
      <c r="K93">
        <v>1.5393E-2</v>
      </c>
      <c r="L93">
        <v>8.9800000000000001E-3</v>
      </c>
      <c r="M93">
        <v>14</v>
      </c>
      <c r="N93" t="s">
        <v>25</v>
      </c>
      <c r="O93" t="s">
        <v>25</v>
      </c>
      <c r="P93">
        <v>6.4140000000000004E-3</v>
      </c>
      <c r="Q93">
        <v>10</v>
      </c>
      <c r="R93" s="4" t="s">
        <v>200</v>
      </c>
      <c r="S93" t="s">
        <v>201</v>
      </c>
    </row>
    <row r="96" spans="1:19" ht="15" customHeight="1" x14ac:dyDescent="0.25">
      <c r="A96" t="s">
        <v>164</v>
      </c>
      <c r="B96" t="s">
        <v>202</v>
      </c>
      <c r="C96" t="s">
        <v>73</v>
      </c>
      <c r="D96" s="3">
        <v>45974</v>
      </c>
      <c r="E96" t="s">
        <v>41</v>
      </c>
      <c r="F96" t="s">
        <v>23</v>
      </c>
      <c r="G96" t="str">
        <f>"/code/TS3-"&amp;E96&amp;"/lexrank"</f>
        <v>/code/TS3-S2/lexrank</v>
      </c>
      <c r="H96" t="s">
        <v>166</v>
      </c>
      <c r="I96" t="str">
        <f t="shared" si="3"/>
        <v>/output/TS3/S2/LexRank/CPU</v>
      </c>
      <c r="J96">
        <v>1.9445324080006601</v>
      </c>
      <c r="K96">
        <v>5.0000000000000004E-6</v>
      </c>
      <c r="L96">
        <v>3.0000000000000001E-6</v>
      </c>
      <c r="M96">
        <v>32.5</v>
      </c>
      <c r="N96" t="s">
        <v>25</v>
      </c>
      <c r="O96" t="s">
        <v>25</v>
      </c>
      <c r="P96">
        <v>1.9999999999999999E-6</v>
      </c>
      <c r="Q96">
        <v>20</v>
      </c>
      <c r="R96" s="4" t="s">
        <v>203</v>
      </c>
      <c r="S96" t="s">
        <v>204</v>
      </c>
    </row>
    <row r="97" spans="1:19" ht="15" customHeight="1" x14ac:dyDescent="0.25">
      <c r="A97" t="s">
        <v>164</v>
      </c>
      <c r="B97" t="s">
        <v>202</v>
      </c>
      <c r="C97" t="s">
        <v>73</v>
      </c>
      <c r="D97" s="3">
        <v>45974</v>
      </c>
      <c r="E97" t="s">
        <v>41</v>
      </c>
      <c r="F97" t="s">
        <v>23</v>
      </c>
      <c r="G97" t="str">
        <f t="shared" ref="G97:G100" si="5">"/code/TS3-"&amp;E97&amp;"/lexrank"</f>
        <v>/code/TS3-S2/lexrank</v>
      </c>
      <c r="H97" t="s">
        <v>169</v>
      </c>
      <c r="I97" t="str">
        <f t="shared" si="3"/>
        <v>/output/TS3/S2/LexRank/CPU</v>
      </c>
      <c r="J97">
        <v>1.7822837049970901</v>
      </c>
      <c r="K97">
        <v>3.0000000000000001E-6</v>
      </c>
      <c r="L97">
        <v>1.9999999999999999E-6</v>
      </c>
      <c r="M97">
        <v>32.5</v>
      </c>
      <c r="N97" t="s">
        <v>25</v>
      </c>
      <c r="O97" t="s">
        <v>25</v>
      </c>
      <c r="P97">
        <v>9.9999999999999995E-7</v>
      </c>
      <c r="Q97">
        <v>20</v>
      </c>
      <c r="R97" s="4" t="s">
        <v>205</v>
      </c>
      <c r="S97" t="s">
        <v>206</v>
      </c>
    </row>
    <row r="98" spans="1:19" ht="15" customHeight="1" x14ac:dyDescent="0.25">
      <c r="A98" t="s">
        <v>164</v>
      </c>
      <c r="B98" t="s">
        <v>202</v>
      </c>
      <c r="C98" t="s">
        <v>73</v>
      </c>
      <c r="D98" s="3">
        <v>45974</v>
      </c>
      <c r="E98" t="s">
        <v>41</v>
      </c>
      <c r="F98" t="s">
        <v>23</v>
      </c>
      <c r="G98" t="str">
        <f t="shared" si="5"/>
        <v>/code/TS3-S2/lexrank</v>
      </c>
      <c r="H98" t="s">
        <v>172</v>
      </c>
      <c r="I98" t="str">
        <f t="shared" si="3"/>
        <v>/output/TS3/S2/LexRank/CPU</v>
      </c>
      <c r="J98">
        <v>3.5010544339966101</v>
      </c>
      <c r="K98">
        <v>2.8E-5</v>
      </c>
      <c r="L98">
        <v>1.8E-5</v>
      </c>
      <c r="M98">
        <v>32.5</v>
      </c>
      <c r="N98" t="s">
        <v>25</v>
      </c>
      <c r="O98" t="s">
        <v>25</v>
      </c>
      <c r="P98">
        <v>1.1E-5</v>
      </c>
      <c r="Q98">
        <v>20</v>
      </c>
      <c r="R98" s="4" t="s">
        <v>207</v>
      </c>
      <c r="S98" t="s">
        <v>208</v>
      </c>
    </row>
    <row r="99" spans="1:19" ht="15" customHeight="1" x14ac:dyDescent="0.25">
      <c r="A99" t="s">
        <v>164</v>
      </c>
      <c r="B99" t="s">
        <v>202</v>
      </c>
      <c r="C99" t="s">
        <v>73</v>
      </c>
      <c r="D99" s="3">
        <v>45974</v>
      </c>
      <c r="E99" t="s">
        <v>41</v>
      </c>
      <c r="F99" t="s">
        <v>23</v>
      </c>
      <c r="G99" t="str">
        <f t="shared" si="5"/>
        <v>/code/TS3-S2/lexrank</v>
      </c>
      <c r="H99" t="s">
        <v>175</v>
      </c>
      <c r="I99" t="str">
        <f t="shared" si="3"/>
        <v>/output/TS3/S2/LexRank/CPU</v>
      </c>
      <c r="J99">
        <v>4.2705504740006202</v>
      </c>
      <c r="K99">
        <v>4.0000000000000003E-5</v>
      </c>
      <c r="L99">
        <v>2.5000000000000001E-5</v>
      </c>
      <c r="M99">
        <v>32.5</v>
      </c>
      <c r="N99" t="s">
        <v>25</v>
      </c>
      <c r="O99" t="s">
        <v>25</v>
      </c>
      <c r="P99">
        <v>1.5E-5</v>
      </c>
      <c r="Q99">
        <v>20</v>
      </c>
      <c r="R99" s="4" t="s">
        <v>209</v>
      </c>
      <c r="S99" t="s">
        <v>210</v>
      </c>
    </row>
    <row r="100" spans="1:19" ht="15" customHeight="1" x14ac:dyDescent="0.25">
      <c r="A100" t="s">
        <v>164</v>
      </c>
      <c r="B100" t="s">
        <v>202</v>
      </c>
      <c r="C100" t="s">
        <v>73</v>
      </c>
      <c r="D100" s="3">
        <v>45974</v>
      </c>
      <c r="E100" t="s">
        <v>41</v>
      </c>
      <c r="F100" t="s">
        <v>23</v>
      </c>
      <c r="G100" t="str">
        <f t="shared" si="5"/>
        <v>/code/TS3-S2/lexrank</v>
      </c>
      <c r="H100" t="s">
        <v>178</v>
      </c>
      <c r="I100" t="str">
        <f t="shared" si="3"/>
        <v>/output/TS3/S2/LexRank/CPU</v>
      </c>
      <c r="J100">
        <v>2.1529940680047699</v>
      </c>
      <c r="K100">
        <v>9.0000000000000002E-6</v>
      </c>
      <c r="L100">
        <v>6.0000000000000002E-6</v>
      </c>
      <c r="M100">
        <v>32.5</v>
      </c>
      <c r="N100" t="s">
        <v>25</v>
      </c>
      <c r="O100" t="s">
        <v>25</v>
      </c>
      <c r="P100">
        <v>3.0000000000000001E-6</v>
      </c>
      <c r="Q100">
        <v>20</v>
      </c>
      <c r="R100" s="4" t="s">
        <v>211</v>
      </c>
      <c r="S100" t="s">
        <v>212</v>
      </c>
    </row>
    <row r="101" spans="1:19" ht="15" customHeight="1" x14ac:dyDescent="0.25">
      <c r="A101" t="s">
        <v>164</v>
      </c>
      <c r="B101" t="s">
        <v>202</v>
      </c>
      <c r="C101" t="s">
        <v>134</v>
      </c>
      <c r="D101" s="3">
        <v>45975</v>
      </c>
      <c r="E101" t="s">
        <v>41</v>
      </c>
      <c r="F101" t="s">
        <v>23</v>
      </c>
      <c r="G101" t="str">
        <f t="shared" ref="G101:G110" si="6">"/code/TS3-"&amp;E101&amp;"/mlongt5"</f>
        <v>/code/TS3-S2/mlongt5</v>
      </c>
      <c r="H101" t="s">
        <v>166</v>
      </c>
      <c r="I101" t="str">
        <f t="shared" si="3"/>
        <v>/output/TS3/S2/mLongT5/CPU</v>
      </c>
      <c r="J101">
        <v>349.305048591</v>
      </c>
      <c r="K101">
        <v>5.0740000000000004E-3</v>
      </c>
      <c r="L101">
        <v>3.1410000000000001E-3</v>
      </c>
      <c r="M101">
        <v>32.5</v>
      </c>
      <c r="N101" t="s">
        <v>25</v>
      </c>
      <c r="O101" t="s">
        <v>25</v>
      </c>
      <c r="P101">
        <v>1.933E-3</v>
      </c>
      <c r="Q101">
        <v>20</v>
      </c>
      <c r="R101" s="4" t="s">
        <v>213</v>
      </c>
      <c r="S101" t="s">
        <v>214</v>
      </c>
    </row>
    <row r="102" spans="1:19" ht="15" customHeight="1" x14ac:dyDescent="0.25">
      <c r="A102" t="s">
        <v>164</v>
      </c>
      <c r="B102" t="s">
        <v>202</v>
      </c>
      <c r="C102" t="s">
        <v>134</v>
      </c>
      <c r="D102" s="3">
        <v>45975</v>
      </c>
      <c r="E102" t="s">
        <v>41</v>
      </c>
      <c r="F102" t="s">
        <v>48</v>
      </c>
      <c r="G102" t="str">
        <f t="shared" si="6"/>
        <v>/code/TS3-S2/mlongt5</v>
      </c>
      <c r="H102" t="s">
        <v>166</v>
      </c>
      <c r="I102" t="str">
        <f t="shared" si="3"/>
        <v>/output/TS3/S2/mLongT5/GPU</v>
      </c>
      <c r="J102">
        <v>656.62848208699995</v>
      </c>
      <c r="K102">
        <v>9.554E-3</v>
      </c>
      <c r="L102">
        <v>5.9150000000000001E-3</v>
      </c>
      <c r="M102">
        <v>32.5</v>
      </c>
      <c r="N102" t="s">
        <v>25</v>
      </c>
      <c r="O102" t="s">
        <v>25</v>
      </c>
      <c r="P102">
        <v>3.64E-3</v>
      </c>
      <c r="Q102" s="4">
        <v>20</v>
      </c>
      <c r="R102" s="4" t="s">
        <v>215</v>
      </c>
      <c r="S102" t="s">
        <v>216</v>
      </c>
    </row>
    <row r="103" spans="1:19" ht="15" customHeight="1" x14ac:dyDescent="0.25">
      <c r="A103" t="s">
        <v>164</v>
      </c>
      <c r="B103" t="s">
        <v>202</v>
      </c>
      <c r="C103" t="s">
        <v>134</v>
      </c>
      <c r="D103" s="3">
        <v>45974</v>
      </c>
      <c r="E103" t="s">
        <v>41</v>
      </c>
      <c r="F103" t="s">
        <v>23</v>
      </c>
      <c r="G103" t="str">
        <f t="shared" si="6"/>
        <v>/code/TS3-S2/mlongt5</v>
      </c>
      <c r="H103" t="s">
        <v>169</v>
      </c>
      <c r="I103" t="str">
        <f t="shared" si="3"/>
        <v>/output/TS3/S2/mLongT5/CPU</v>
      </c>
      <c r="J103">
        <v>239.49105087999399</v>
      </c>
      <c r="K103">
        <v>3.473E-3</v>
      </c>
      <c r="L103">
        <v>2.15E-3</v>
      </c>
      <c r="M103">
        <v>32.5</v>
      </c>
      <c r="N103" t="s">
        <v>25</v>
      </c>
      <c r="O103" t="s">
        <v>25</v>
      </c>
      <c r="P103">
        <v>1.323E-3</v>
      </c>
      <c r="Q103">
        <v>20</v>
      </c>
      <c r="R103" s="4" t="s">
        <v>217</v>
      </c>
      <c r="S103" t="s">
        <v>218</v>
      </c>
    </row>
    <row r="104" spans="1:19" ht="15" customHeight="1" x14ac:dyDescent="0.25">
      <c r="A104" t="s">
        <v>164</v>
      </c>
      <c r="B104" t="s">
        <v>202</v>
      </c>
      <c r="C104" t="s">
        <v>134</v>
      </c>
      <c r="D104" s="3">
        <v>45974</v>
      </c>
      <c r="E104" t="s">
        <v>41</v>
      </c>
      <c r="F104" t="s">
        <v>48</v>
      </c>
      <c r="G104" t="str">
        <f t="shared" si="6"/>
        <v>/code/TS3-S2/mlongt5</v>
      </c>
      <c r="H104" t="s">
        <v>169</v>
      </c>
      <c r="I104" t="str">
        <f t="shared" si="3"/>
        <v>/output/TS3/S2/mLongT5/GPU</v>
      </c>
      <c r="J104">
        <v>240.61095636399801</v>
      </c>
      <c r="K104">
        <v>3.4880000000000002E-3</v>
      </c>
      <c r="L104">
        <v>2.1589999999999999E-3</v>
      </c>
      <c r="M104">
        <v>32.5</v>
      </c>
      <c r="N104" t="s">
        <v>25</v>
      </c>
      <c r="O104" t="s">
        <v>25</v>
      </c>
      <c r="P104">
        <v>1.3290000000000001E-3</v>
      </c>
      <c r="Q104">
        <v>20</v>
      </c>
      <c r="R104" s="4" t="s">
        <v>219</v>
      </c>
      <c r="S104" t="s">
        <v>220</v>
      </c>
    </row>
    <row r="105" spans="1:19" ht="15" customHeight="1" x14ac:dyDescent="0.25">
      <c r="A105" t="s">
        <v>164</v>
      </c>
      <c r="B105" t="s">
        <v>202</v>
      </c>
      <c r="C105" t="s">
        <v>134</v>
      </c>
      <c r="D105" s="3">
        <v>45974</v>
      </c>
      <c r="E105" t="s">
        <v>41</v>
      </c>
      <c r="F105" t="s">
        <v>23</v>
      </c>
      <c r="G105" t="str">
        <f t="shared" si="6"/>
        <v>/code/TS3-S2/mlongt5</v>
      </c>
      <c r="H105" t="s">
        <v>172</v>
      </c>
      <c r="I105" t="str">
        <f t="shared" si="3"/>
        <v>/output/TS3/S2/mLongT5/CPU</v>
      </c>
      <c r="J105">
        <v>688.35381370000596</v>
      </c>
      <c r="K105">
        <v>1.0019E-2</v>
      </c>
      <c r="L105">
        <v>6.202E-3</v>
      </c>
      <c r="M105">
        <v>32.5</v>
      </c>
      <c r="N105" t="s">
        <v>25</v>
      </c>
      <c r="O105" t="s">
        <v>25</v>
      </c>
      <c r="P105">
        <v>3.8170000000000001E-3</v>
      </c>
      <c r="Q105">
        <v>20</v>
      </c>
      <c r="R105" s="4" t="s">
        <v>221</v>
      </c>
      <c r="S105" t="s">
        <v>222</v>
      </c>
    </row>
    <row r="106" spans="1:19" ht="15" customHeight="1" x14ac:dyDescent="0.25">
      <c r="A106" t="s">
        <v>164</v>
      </c>
      <c r="B106" t="s">
        <v>202</v>
      </c>
      <c r="C106" t="s">
        <v>134</v>
      </c>
      <c r="D106" s="3">
        <v>45974</v>
      </c>
      <c r="E106" t="s">
        <v>41</v>
      </c>
      <c r="F106" t="s">
        <v>48</v>
      </c>
      <c r="G106" t="str">
        <f t="shared" si="6"/>
        <v>/code/TS3-S2/mlongt5</v>
      </c>
      <c r="H106" t="s">
        <v>172</v>
      </c>
      <c r="I106" t="str">
        <f t="shared" si="3"/>
        <v>/output/TS3/S2/mLongT5/GPU</v>
      </c>
      <c r="J106">
        <v>655.48127470799898</v>
      </c>
      <c r="K106">
        <v>9.5379999999999996E-3</v>
      </c>
      <c r="L106">
        <v>5.9049999999999997E-3</v>
      </c>
      <c r="M106">
        <v>32.5</v>
      </c>
      <c r="N106" t="s">
        <v>25</v>
      </c>
      <c r="O106" t="s">
        <v>25</v>
      </c>
      <c r="P106">
        <v>3.6340000000000001E-3</v>
      </c>
      <c r="Q106">
        <v>20</v>
      </c>
      <c r="R106" s="4" t="s">
        <v>223</v>
      </c>
      <c r="S106" t="s">
        <v>224</v>
      </c>
    </row>
    <row r="107" spans="1:19" ht="15" customHeight="1" x14ac:dyDescent="0.25">
      <c r="A107" t="s">
        <v>164</v>
      </c>
      <c r="B107" t="s">
        <v>202</v>
      </c>
      <c r="C107" t="s">
        <v>134</v>
      </c>
      <c r="D107" s="3">
        <v>45974</v>
      </c>
      <c r="E107" t="s">
        <v>41</v>
      </c>
      <c r="F107" t="s">
        <v>23</v>
      </c>
      <c r="G107" t="str">
        <f t="shared" si="6"/>
        <v>/code/TS3-S2/mlongt5</v>
      </c>
      <c r="H107" t="s">
        <v>175</v>
      </c>
      <c r="I107" t="str">
        <f t="shared" si="3"/>
        <v>/output/TS3/S2/mLongT5/CPU</v>
      </c>
      <c r="J107">
        <v>498.38526338999498</v>
      </c>
      <c r="K107">
        <v>7.2480000000000001E-3</v>
      </c>
      <c r="L107">
        <v>4.4869999999999997E-3</v>
      </c>
      <c r="M107">
        <v>32.5</v>
      </c>
      <c r="N107" t="s">
        <v>25</v>
      </c>
      <c r="O107" t="s">
        <v>25</v>
      </c>
      <c r="P107">
        <v>2.761E-3</v>
      </c>
      <c r="Q107">
        <v>20</v>
      </c>
      <c r="R107" s="4" t="s">
        <v>225</v>
      </c>
      <c r="S107" t="s">
        <v>226</v>
      </c>
    </row>
    <row r="108" spans="1:19" ht="15" customHeight="1" x14ac:dyDescent="0.25">
      <c r="A108" t="s">
        <v>164</v>
      </c>
      <c r="B108" t="s">
        <v>202</v>
      </c>
      <c r="C108" t="s">
        <v>134</v>
      </c>
      <c r="D108" s="3">
        <v>45974</v>
      </c>
      <c r="E108" t="s">
        <v>41</v>
      </c>
      <c r="F108" t="s">
        <v>48</v>
      </c>
      <c r="G108" t="str">
        <f t="shared" si="6"/>
        <v>/code/TS3-S2/mlongt5</v>
      </c>
      <c r="H108" t="s">
        <v>175</v>
      </c>
      <c r="I108" t="str">
        <f t="shared" si="3"/>
        <v>/output/TS3/S2/mLongT5/GPU</v>
      </c>
      <c r="J108">
        <v>499.10167370099902</v>
      </c>
      <c r="K108">
        <v>7.2560000000000003E-3</v>
      </c>
      <c r="L108">
        <v>4.4920000000000003E-3</v>
      </c>
      <c r="M108">
        <v>32.5</v>
      </c>
      <c r="N108" t="s">
        <v>25</v>
      </c>
      <c r="O108" t="s">
        <v>25</v>
      </c>
      <c r="P108">
        <v>2.764E-3</v>
      </c>
      <c r="Q108">
        <v>20</v>
      </c>
      <c r="R108" s="4" t="s">
        <v>227</v>
      </c>
      <c r="S108" t="s">
        <v>228</v>
      </c>
    </row>
    <row r="109" spans="1:19" ht="15" customHeight="1" x14ac:dyDescent="0.25">
      <c r="A109" t="s">
        <v>164</v>
      </c>
      <c r="B109" t="s">
        <v>202</v>
      </c>
      <c r="C109" t="s">
        <v>134</v>
      </c>
      <c r="D109" s="3">
        <v>45974</v>
      </c>
      <c r="E109" t="s">
        <v>41</v>
      </c>
      <c r="F109" t="s">
        <v>23</v>
      </c>
      <c r="G109" t="str">
        <f t="shared" si="6"/>
        <v>/code/TS3-S2/mlongt5</v>
      </c>
      <c r="H109" t="s">
        <v>178</v>
      </c>
      <c r="I109" t="str">
        <f t="shared" si="3"/>
        <v>/output/TS3/S2/mLongT5/CPU</v>
      </c>
      <c r="J109">
        <v>189.40127383099701</v>
      </c>
      <c r="K109">
        <v>2.7420000000000001E-3</v>
      </c>
      <c r="L109">
        <v>1.6980000000000001E-3</v>
      </c>
      <c r="M109">
        <v>32.5</v>
      </c>
      <c r="N109" t="s">
        <v>25</v>
      </c>
      <c r="O109" t="s">
        <v>25</v>
      </c>
      <c r="P109">
        <v>1.0449999999999999E-3</v>
      </c>
      <c r="Q109">
        <v>20</v>
      </c>
      <c r="R109" s="4" t="s">
        <v>229</v>
      </c>
      <c r="S109" t="s">
        <v>230</v>
      </c>
    </row>
    <row r="110" spans="1:19" ht="15" customHeight="1" x14ac:dyDescent="0.25">
      <c r="A110" t="s">
        <v>164</v>
      </c>
      <c r="B110" t="s">
        <v>202</v>
      </c>
      <c r="C110" t="s">
        <v>134</v>
      </c>
      <c r="D110" s="3">
        <v>45974</v>
      </c>
      <c r="E110" t="s">
        <v>41</v>
      </c>
      <c r="F110" t="s">
        <v>48</v>
      </c>
      <c r="G110" t="str">
        <f t="shared" si="6"/>
        <v>/code/TS3-S2/mlongt5</v>
      </c>
      <c r="H110" t="s">
        <v>178</v>
      </c>
      <c r="I110" t="str">
        <f t="shared" si="3"/>
        <v>/output/TS3/S2/mLongT5/GPU</v>
      </c>
      <c r="J110">
        <v>193.52300111600101</v>
      </c>
      <c r="K110">
        <v>2.7989999999999998E-3</v>
      </c>
      <c r="L110">
        <v>1.7329999999999999E-3</v>
      </c>
      <c r="M110">
        <v>32.5</v>
      </c>
      <c r="N110" t="s">
        <v>25</v>
      </c>
      <c r="O110" t="s">
        <v>25</v>
      </c>
      <c r="P110">
        <v>1.0660000000000001E-3</v>
      </c>
      <c r="Q110">
        <v>20</v>
      </c>
      <c r="R110" s="4" t="s">
        <v>231</v>
      </c>
      <c r="S110" t="s">
        <v>232</v>
      </c>
    </row>
    <row r="111" spans="1:19" ht="15" customHeight="1" x14ac:dyDescent="0.25">
      <c r="A111" t="s">
        <v>164</v>
      </c>
      <c r="B111" t="s">
        <v>202</v>
      </c>
      <c r="C111" t="s">
        <v>191</v>
      </c>
      <c r="D111" s="3">
        <v>45974</v>
      </c>
      <c r="E111" t="s">
        <v>41</v>
      </c>
      <c r="F111" t="s">
        <v>23</v>
      </c>
      <c r="G111" t="str">
        <f t="shared" ref="G111:G120" si="7">"/code/TS3-"&amp;E111&amp;"/mistralnemo"</f>
        <v>/code/TS3-S2/mistralnemo</v>
      </c>
      <c r="H111" t="s">
        <v>166</v>
      </c>
      <c r="I111" t="str">
        <f t="shared" si="3"/>
        <v>/output/TS3/S2/Mistral Nemo/CPU</v>
      </c>
      <c r="J111">
        <v>704.83609260999901</v>
      </c>
      <c r="K111">
        <v>1.0259000000000001E-2</v>
      </c>
      <c r="L111">
        <v>6.3509999999999999E-3</v>
      </c>
      <c r="M111">
        <v>32.5</v>
      </c>
      <c r="N111" t="s">
        <v>25</v>
      </c>
      <c r="O111" t="s">
        <v>25</v>
      </c>
      <c r="P111">
        <v>3.908E-3</v>
      </c>
      <c r="Q111">
        <v>20</v>
      </c>
      <c r="R111" s="4" t="s">
        <v>233</v>
      </c>
      <c r="S111" t="s">
        <v>234</v>
      </c>
    </row>
    <row r="112" spans="1:19" ht="15" customHeight="1" x14ac:dyDescent="0.25">
      <c r="A112" t="s">
        <v>164</v>
      </c>
      <c r="B112" t="s">
        <v>202</v>
      </c>
      <c r="C112" t="s">
        <v>191</v>
      </c>
      <c r="D112" s="3">
        <v>45973</v>
      </c>
      <c r="E112" t="s">
        <v>41</v>
      </c>
      <c r="F112" t="s">
        <v>48</v>
      </c>
      <c r="G112" t="str">
        <f t="shared" si="7"/>
        <v>/code/TS3-S2/mistralnemo</v>
      </c>
      <c r="H112" t="s">
        <v>166</v>
      </c>
      <c r="I112" t="str">
        <f t="shared" si="3"/>
        <v>/output/TS3/S2/Mistral Nemo/GPU</v>
      </c>
      <c r="J112">
        <v>179.95903498999999</v>
      </c>
      <c r="K112">
        <v>2.604E-3</v>
      </c>
      <c r="L112">
        <v>1.6119999999999999E-3</v>
      </c>
      <c r="M112">
        <v>32.5</v>
      </c>
      <c r="N112" t="s">
        <v>25</v>
      </c>
      <c r="O112" t="s">
        <v>25</v>
      </c>
      <c r="P112">
        <v>9.9200000000000004E-4</v>
      </c>
      <c r="Q112">
        <v>20</v>
      </c>
      <c r="R112" s="4" t="s">
        <v>235</v>
      </c>
      <c r="S112" t="s">
        <v>236</v>
      </c>
    </row>
    <row r="113" spans="1:19" ht="15" customHeight="1" x14ac:dyDescent="0.25">
      <c r="A113" t="s">
        <v>164</v>
      </c>
      <c r="B113" t="s">
        <v>202</v>
      </c>
      <c r="C113" t="s">
        <v>191</v>
      </c>
      <c r="D113" s="3">
        <v>45974</v>
      </c>
      <c r="E113" t="s">
        <v>41</v>
      </c>
      <c r="F113" t="s">
        <v>23</v>
      </c>
      <c r="G113" t="str">
        <f t="shared" si="7"/>
        <v>/code/TS3-S2/mistralnemo</v>
      </c>
      <c r="H113" t="s">
        <v>169</v>
      </c>
      <c r="I113" t="str">
        <f t="shared" si="3"/>
        <v>/output/TS3/S2/Mistral Nemo/CPU</v>
      </c>
      <c r="J113">
        <v>369.61693040999597</v>
      </c>
      <c r="K113">
        <v>5.3699999999999998E-3</v>
      </c>
      <c r="L113">
        <v>3.3240000000000001E-3</v>
      </c>
      <c r="M113">
        <v>32.5</v>
      </c>
      <c r="N113" t="s">
        <v>25</v>
      </c>
      <c r="O113" t="s">
        <v>25</v>
      </c>
      <c r="P113">
        <v>2.0460000000000001E-3</v>
      </c>
      <c r="Q113">
        <v>20</v>
      </c>
      <c r="R113" s="4" t="s">
        <v>237</v>
      </c>
      <c r="S113" t="s">
        <v>238</v>
      </c>
    </row>
    <row r="114" spans="1:19" ht="15" customHeight="1" x14ac:dyDescent="0.25">
      <c r="A114" t="s">
        <v>164</v>
      </c>
      <c r="B114" t="s">
        <v>202</v>
      </c>
      <c r="C114" t="s">
        <v>191</v>
      </c>
      <c r="D114" s="3">
        <v>45974</v>
      </c>
      <c r="E114" t="s">
        <v>41</v>
      </c>
      <c r="F114" t="s">
        <v>48</v>
      </c>
      <c r="G114" t="str">
        <f t="shared" si="7"/>
        <v>/code/TS3-S2/mistralnemo</v>
      </c>
      <c r="H114" t="s">
        <v>169</v>
      </c>
      <c r="I114" t="str">
        <f t="shared" si="3"/>
        <v>/output/TS3/S2/Mistral Nemo/GPU</v>
      </c>
      <c r="J114">
        <v>152.03654016699801</v>
      </c>
      <c r="K114">
        <v>2.1970000000000002E-3</v>
      </c>
      <c r="L114">
        <v>1.3600000000000001E-3</v>
      </c>
      <c r="M114">
        <v>32.5</v>
      </c>
      <c r="N114" t="s">
        <v>25</v>
      </c>
      <c r="O114" t="s">
        <v>25</v>
      </c>
      <c r="P114">
        <v>8.3699999999999996E-4</v>
      </c>
      <c r="Q114">
        <v>20</v>
      </c>
      <c r="R114" s="4" t="s">
        <v>239</v>
      </c>
      <c r="S114" t="s">
        <v>240</v>
      </c>
    </row>
    <row r="115" spans="1:19" ht="15" customHeight="1" x14ac:dyDescent="0.25">
      <c r="A115" t="s">
        <v>164</v>
      </c>
      <c r="B115" t="s">
        <v>202</v>
      </c>
      <c r="C115" t="s">
        <v>191</v>
      </c>
      <c r="D115" s="3">
        <v>45974</v>
      </c>
      <c r="E115" t="s">
        <v>41</v>
      </c>
      <c r="F115" t="s">
        <v>23</v>
      </c>
      <c r="G115" t="str">
        <f t="shared" si="7"/>
        <v>/code/TS3-S2/mistralnemo</v>
      </c>
      <c r="H115" t="s">
        <v>172</v>
      </c>
      <c r="I115" t="str">
        <f t="shared" si="3"/>
        <v>/output/TS3/S2/Mistral Nemo/CPU</v>
      </c>
      <c r="J115">
        <v>1538.756546247</v>
      </c>
      <c r="K115">
        <v>2.2419999999999999E-2</v>
      </c>
      <c r="L115">
        <v>1.3879000000000001E-2</v>
      </c>
      <c r="M115">
        <v>32.5</v>
      </c>
      <c r="N115" t="s">
        <v>25</v>
      </c>
      <c r="O115" t="s">
        <v>25</v>
      </c>
      <c r="P115">
        <v>8.541E-3</v>
      </c>
      <c r="Q115">
        <v>20</v>
      </c>
      <c r="R115" s="4" t="s">
        <v>241</v>
      </c>
      <c r="S115" t="s">
        <v>242</v>
      </c>
    </row>
    <row r="116" spans="1:19" ht="15" customHeight="1" x14ac:dyDescent="0.25">
      <c r="A116" t="s">
        <v>164</v>
      </c>
      <c r="B116" t="s">
        <v>202</v>
      </c>
      <c r="C116" t="s">
        <v>191</v>
      </c>
      <c r="D116" s="3">
        <v>45973</v>
      </c>
      <c r="E116" t="s">
        <v>41</v>
      </c>
      <c r="F116" t="s">
        <v>48</v>
      </c>
      <c r="G116" t="str">
        <f t="shared" si="7"/>
        <v>/code/TS3-S2/mistralnemo</v>
      </c>
      <c r="H116" t="s">
        <v>172</v>
      </c>
      <c r="I116" t="str">
        <f t="shared" si="3"/>
        <v>/output/TS3/S2/Mistral Nemo/GPU</v>
      </c>
      <c r="J116">
        <v>961.20019619099901</v>
      </c>
      <c r="K116">
        <v>1.3997000000000001E-2</v>
      </c>
      <c r="L116">
        <v>8.6650000000000008E-3</v>
      </c>
      <c r="M116">
        <v>32.5</v>
      </c>
      <c r="N116" t="s">
        <v>25</v>
      </c>
      <c r="O116" t="s">
        <v>25</v>
      </c>
      <c r="P116">
        <v>5.3319999999999999E-3</v>
      </c>
      <c r="Q116">
        <v>20</v>
      </c>
      <c r="R116" s="4" t="s">
        <v>1038</v>
      </c>
      <c r="S116" t="s">
        <v>243</v>
      </c>
    </row>
    <row r="117" spans="1:19" ht="15" customHeight="1" x14ac:dyDescent="0.25">
      <c r="A117" t="s">
        <v>164</v>
      </c>
      <c r="B117" t="s">
        <v>202</v>
      </c>
      <c r="C117" t="s">
        <v>191</v>
      </c>
      <c r="D117" s="3">
        <v>45974</v>
      </c>
      <c r="E117" t="s">
        <v>41</v>
      </c>
      <c r="F117" t="s">
        <v>23</v>
      </c>
      <c r="G117" t="str">
        <f t="shared" si="7"/>
        <v>/code/TS3-S2/mistralnemo</v>
      </c>
      <c r="H117" t="s">
        <v>175</v>
      </c>
      <c r="I117" t="str">
        <f t="shared" si="3"/>
        <v>/output/TS3/S2/Mistral Nemo/CPU</v>
      </c>
      <c r="J117">
        <v>1708.5040304449899</v>
      </c>
      <c r="K117">
        <v>2.4895E-2</v>
      </c>
      <c r="L117">
        <v>1.5412E-2</v>
      </c>
      <c r="M117">
        <v>32.5</v>
      </c>
      <c r="N117" t="s">
        <v>25</v>
      </c>
      <c r="O117" t="s">
        <v>25</v>
      </c>
      <c r="P117">
        <v>9.4839999999999994E-3</v>
      </c>
      <c r="Q117">
        <v>20</v>
      </c>
      <c r="R117" s="4" t="s">
        <v>244</v>
      </c>
      <c r="S117" t="s">
        <v>245</v>
      </c>
    </row>
    <row r="118" spans="1:19" ht="15" customHeight="1" x14ac:dyDescent="0.25">
      <c r="A118" t="s">
        <v>164</v>
      </c>
      <c r="B118" t="s">
        <v>202</v>
      </c>
      <c r="C118" t="s">
        <v>191</v>
      </c>
      <c r="D118" s="3">
        <v>45973</v>
      </c>
      <c r="E118" t="s">
        <v>41</v>
      </c>
      <c r="F118" t="s">
        <v>48</v>
      </c>
      <c r="G118" t="str">
        <f t="shared" si="7"/>
        <v>/code/TS3-S2/mistralnemo</v>
      </c>
      <c r="H118" t="s">
        <v>175</v>
      </c>
      <c r="I118" t="str">
        <f t="shared" si="3"/>
        <v>/output/TS3/S2/Mistral Nemo/GPU</v>
      </c>
      <c r="J118">
        <v>339.324384415</v>
      </c>
      <c r="K118">
        <v>4.927E-3</v>
      </c>
      <c r="L118">
        <v>3.0500000000000002E-3</v>
      </c>
      <c r="M118">
        <v>32.5</v>
      </c>
      <c r="N118" t="s">
        <v>25</v>
      </c>
      <c r="O118" t="s">
        <v>25</v>
      </c>
      <c r="P118">
        <v>1.877E-3</v>
      </c>
      <c r="Q118">
        <v>20</v>
      </c>
      <c r="R118" s="4" t="s">
        <v>1039</v>
      </c>
      <c r="S118" t="s">
        <v>246</v>
      </c>
    </row>
    <row r="119" spans="1:19" ht="15" customHeight="1" x14ac:dyDescent="0.25">
      <c r="A119" t="s">
        <v>164</v>
      </c>
      <c r="B119" t="s">
        <v>202</v>
      </c>
      <c r="C119" t="s">
        <v>191</v>
      </c>
      <c r="D119" s="3">
        <v>45974</v>
      </c>
      <c r="E119" t="s">
        <v>41</v>
      </c>
      <c r="F119" t="s">
        <v>23</v>
      </c>
      <c r="G119" t="str">
        <f t="shared" si="7"/>
        <v>/code/TS3-S2/mistralnemo</v>
      </c>
      <c r="H119" t="s">
        <v>178</v>
      </c>
      <c r="I119" t="str">
        <f t="shared" si="3"/>
        <v>/output/TS3/S2/Mistral Nemo/CPU</v>
      </c>
      <c r="J119">
        <v>1297.3709538359899</v>
      </c>
      <c r="K119">
        <v>1.8898999999999999E-2</v>
      </c>
      <c r="L119">
        <v>1.1698999999999999E-2</v>
      </c>
      <c r="M119">
        <v>32.5</v>
      </c>
      <c r="N119" t="s">
        <v>25</v>
      </c>
      <c r="O119" t="s">
        <v>25</v>
      </c>
      <c r="P119">
        <v>7.1989999999999997E-3</v>
      </c>
      <c r="Q119">
        <v>20</v>
      </c>
      <c r="R119" s="4" t="s">
        <v>247</v>
      </c>
      <c r="S119" t="s">
        <v>248</v>
      </c>
    </row>
    <row r="120" spans="1:19" ht="15" customHeight="1" x14ac:dyDescent="0.25">
      <c r="A120" t="s">
        <v>164</v>
      </c>
      <c r="B120" t="s">
        <v>202</v>
      </c>
      <c r="C120" t="s">
        <v>191</v>
      </c>
      <c r="D120" s="3">
        <v>45973</v>
      </c>
      <c r="E120" t="s">
        <v>41</v>
      </c>
      <c r="F120" t="s">
        <v>48</v>
      </c>
      <c r="G120" t="str">
        <f t="shared" si="7"/>
        <v>/code/TS3-S2/mistralnemo</v>
      </c>
      <c r="H120" t="s">
        <v>178</v>
      </c>
      <c r="I120" t="str">
        <f t="shared" si="3"/>
        <v>/output/TS3/S2/Mistral Nemo/GPU</v>
      </c>
      <c r="J120">
        <v>423.51624239899797</v>
      </c>
      <c r="K120">
        <v>6.156E-3</v>
      </c>
      <c r="L120">
        <v>3.8110000000000002E-3</v>
      </c>
      <c r="M120">
        <v>32.5</v>
      </c>
      <c r="N120" t="s">
        <v>25</v>
      </c>
      <c r="O120" t="s">
        <v>25</v>
      </c>
      <c r="P120">
        <v>2.3449999999999999E-3</v>
      </c>
      <c r="Q120">
        <v>20</v>
      </c>
      <c r="R120" s="4" t="s">
        <v>249</v>
      </c>
      <c r="S120" t="s">
        <v>250</v>
      </c>
    </row>
    <row r="122" spans="1:19" ht="15" customHeight="1" x14ac:dyDescent="0.25">
      <c r="A122" t="s">
        <v>164</v>
      </c>
      <c r="B122" t="s">
        <v>251</v>
      </c>
      <c r="C122" t="s">
        <v>73</v>
      </c>
      <c r="D122" s="3">
        <v>45954</v>
      </c>
      <c r="E122" t="s">
        <v>54</v>
      </c>
      <c r="F122" t="s">
        <v>23</v>
      </c>
      <c r="G122" t="str">
        <f>"/code/TS3-"&amp;E122&amp;"/lexrank"</f>
        <v>/code/TS3-S3/lexrank</v>
      </c>
      <c r="H122" t="s">
        <v>166</v>
      </c>
      <c r="I122" t="str">
        <f t="shared" si="3"/>
        <v>/output/TS3/S3/LexRank/CPU</v>
      </c>
      <c r="J122">
        <v>1.66323075900027</v>
      </c>
      <c r="K122">
        <v>1.9999999999999999E-6</v>
      </c>
      <c r="L122">
        <v>1.9999999999999999E-6</v>
      </c>
      <c r="M122">
        <v>32.5</v>
      </c>
      <c r="N122" t="s">
        <v>25</v>
      </c>
      <c r="O122" t="s">
        <v>25</v>
      </c>
      <c r="P122">
        <v>9.9999999999999995E-7</v>
      </c>
      <c r="Q122">
        <v>20</v>
      </c>
      <c r="R122" s="4" t="s">
        <v>252</v>
      </c>
      <c r="S122" t="s">
        <v>253</v>
      </c>
    </row>
    <row r="123" spans="1:19" ht="15" customHeight="1" x14ac:dyDescent="0.25">
      <c r="A123" t="s">
        <v>164</v>
      </c>
      <c r="B123" t="s">
        <v>251</v>
      </c>
      <c r="C123" t="s">
        <v>73</v>
      </c>
      <c r="D123" s="3">
        <v>45954</v>
      </c>
      <c r="E123" t="s">
        <v>54</v>
      </c>
      <c r="F123" t="s">
        <v>23</v>
      </c>
      <c r="G123" t="str">
        <f t="shared" ref="G123:G126" si="8">"/code/TS3-"&amp;E123&amp;"/lexrank"</f>
        <v>/code/TS3-S3/lexrank</v>
      </c>
      <c r="H123" t="s">
        <v>169</v>
      </c>
      <c r="I123" t="str">
        <f t="shared" si="3"/>
        <v>/output/TS3/S3/LexRank/CPU</v>
      </c>
      <c r="J123">
        <v>1.61870890099999</v>
      </c>
      <c r="K123">
        <v>9.9999999999999995E-7</v>
      </c>
      <c r="L123">
        <v>9.9999999999999995E-7</v>
      </c>
      <c r="M123">
        <v>32.5</v>
      </c>
      <c r="N123" t="s">
        <v>25</v>
      </c>
      <c r="O123" t="s">
        <v>25</v>
      </c>
      <c r="P123">
        <v>9.9999999999999995E-7</v>
      </c>
      <c r="Q123">
        <v>20</v>
      </c>
      <c r="R123" s="4" t="s">
        <v>254</v>
      </c>
      <c r="S123" t="s">
        <v>255</v>
      </c>
    </row>
    <row r="124" spans="1:19" ht="15" customHeight="1" x14ac:dyDescent="0.25">
      <c r="A124" t="s">
        <v>164</v>
      </c>
      <c r="B124" t="s">
        <v>251</v>
      </c>
      <c r="C124" t="s">
        <v>73</v>
      </c>
      <c r="D124" s="3">
        <v>45954</v>
      </c>
      <c r="E124" t="s">
        <v>54</v>
      </c>
      <c r="F124" t="s">
        <v>23</v>
      </c>
      <c r="G124" t="str">
        <f t="shared" si="8"/>
        <v>/code/TS3-S3/lexrank</v>
      </c>
      <c r="H124" t="s">
        <v>172</v>
      </c>
      <c r="I124" t="str">
        <f t="shared" si="3"/>
        <v>/output/TS3/S3/LexRank/CPU</v>
      </c>
      <c r="J124">
        <v>2.48021374200016</v>
      </c>
      <c r="K124">
        <v>1.5E-5</v>
      </c>
      <c r="L124">
        <v>9.0000000000000002E-6</v>
      </c>
      <c r="M124">
        <v>32.5</v>
      </c>
      <c r="N124" t="s">
        <v>25</v>
      </c>
      <c r="O124" t="s">
        <v>25</v>
      </c>
      <c r="P124">
        <v>6.0000000000000002E-6</v>
      </c>
      <c r="Q124">
        <v>20</v>
      </c>
      <c r="R124" s="4" t="s">
        <v>256</v>
      </c>
      <c r="S124" t="s">
        <v>257</v>
      </c>
    </row>
    <row r="125" spans="1:19" ht="15" customHeight="1" x14ac:dyDescent="0.25">
      <c r="A125" t="s">
        <v>164</v>
      </c>
      <c r="B125" t="s">
        <v>251</v>
      </c>
      <c r="C125" t="s">
        <v>73</v>
      </c>
      <c r="D125" s="3">
        <v>45954</v>
      </c>
      <c r="E125" t="s">
        <v>54</v>
      </c>
      <c r="F125" t="s">
        <v>23</v>
      </c>
      <c r="G125" t="str">
        <f t="shared" si="8"/>
        <v>/code/TS3-S3/lexrank</v>
      </c>
      <c r="H125" t="s">
        <v>175</v>
      </c>
      <c r="I125" t="str">
        <f t="shared" si="3"/>
        <v>/output/TS3/S3/LexRank/CPU</v>
      </c>
      <c r="J125">
        <v>3.40723126200009</v>
      </c>
      <c r="K125">
        <v>2.6999999999999999E-5</v>
      </c>
      <c r="L125">
        <v>1.7E-5</v>
      </c>
      <c r="M125">
        <v>32.5</v>
      </c>
      <c r="N125" t="s">
        <v>25</v>
      </c>
      <c r="O125" t="s">
        <v>25</v>
      </c>
      <c r="P125">
        <v>1.0000000000000001E-5</v>
      </c>
      <c r="Q125">
        <v>20</v>
      </c>
      <c r="R125" s="4" t="s">
        <v>258</v>
      </c>
      <c r="S125" t="s">
        <v>259</v>
      </c>
    </row>
    <row r="126" spans="1:19" ht="15" customHeight="1" x14ac:dyDescent="0.25">
      <c r="A126" t="s">
        <v>164</v>
      </c>
      <c r="B126" t="s">
        <v>251</v>
      </c>
      <c r="C126" t="s">
        <v>73</v>
      </c>
      <c r="D126" s="3">
        <v>45954</v>
      </c>
      <c r="E126" t="s">
        <v>54</v>
      </c>
      <c r="F126" t="s">
        <v>23</v>
      </c>
      <c r="G126" t="str">
        <f t="shared" si="8"/>
        <v>/code/TS3-S3/lexrank</v>
      </c>
      <c r="H126" t="s">
        <v>178</v>
      </c>
      <c r="I126" t="str">
        <f t="shared" si="3"/>
        <v>/output/TS3/S3/LexRank/CPU</v>
      </c>
      <c r="J126">
        <v>1.7606556949999601</v>
      </c>
      <c r="K126">
        <v>5.0000000000000004E-6</v>
      </c>
      <c r="L126">
        <v>3.0000000000000001E-6</v>
      </c>
      <c r="M126">
        <v>32.5</v>
      </c>
      <c r="N126" t="s">
        <v>25</v>
      </c>
      <c r="O126" t="s">
        <v>25</v>
      </c>
      <c r="P126">
        <v>1.9999999999999999E-6</v>
      </c>
      <c r="Q126">
        <v>20</v>
      </c>
      <c r="R126" s="4" t="s">
        <v>260</v>
      </c>
      <c r="S126" t="s">
        <v>261</v>
      </c>
    </row>
    <row r="127" spans="1:19" ht="15" customHeight="1" x14ac:dyDescent="0.25">
      <c r="A127" t="s">
        <v>164</v>
      </c>
      <c r="B127" t="s">
        <v>251</v>
      </c>
      <c r="C127" t="s">
        <v>134</v>
      </c>
      <c r="D127" s="3">
        <v>45954</v>
      </c>
      <c r="E127" t="s">
        <v>54</v>
      </c>
      <c r="F127" t="s">
        <v>23</v>
      </c>
      <c r="G127" t="str">
        <f t="shared" ref="G127:G136" si="9">"/code/TS3-"&amp;E127&amp;"/mlongt5"</f>
        <v>/code/TS3-S3/mlongt5</v>
      </c>
      <c r="H127" t="s">
        <v>166</v>
      </c>
      <c r="I127" t="str">
        <f t="shared" si="3"/>
        <v>/output/TS3/S3/mLongT5/CPU</v>
      </c>
      <c r="J127">
        <v>198.38405784899899</v>
      </c>
      <c r="K127">
        <v>2.8739999999999998E-3</v>
      </c>
      <c r="L127">
        <v>1.779E-3</v>
      </c>
      <c r="M127">
        <v>32.5</v>
      </c>
      <c r="N127" t="s">
        <v>25</v>
      </c>
      <c r="O127" t="s">
        <v>25</v>
      </c>
      <c r="P127">
        <v>1.0950000000000001E-3</v>
      </c>
      <c r="Q127">
        <v>20</v>
      </c>
      <c r="R127" s="4" t="s">
        <v>262</v>
      </c>
      <c r="S127" t="s">
        <v>263</v>
      </c>
    </row>
    <row r="128" spans="1:19" ht="15" customHeight="1" x14ac:dyDescent="0.25">
      <c r="A128" t="s">
        <v>164</v>
      </c>
      <c r="B128" t="s">
        <v>251</v>
      </c>
      <c r="C128" t="s">
        <v>134</v>
      </c>
      <c r="D128" s="3">
        <v>45954</v>
      </c>
      <c r="E128" t="s">
        <v>54</v>
      </c>
      <c r="F128" t="s">
        <v>48</v>
      </c>
      <c r="G128" t="str">
        <f t="shared" si="9"/>
        <v>/code/TS3-S3/mlongt5</v>
      </c>
      <c r="H128" t="s">
        <v>166</v>
      </c>
      <c r="I128" t="str">
        <f t="shared" si="3"/>
        <v>/output/TS3/S3/mLongT5/GPU</v>
      </c>
      <c r="J128">
        <v>60.455513714001398</v>
      </c>
      <c r="K128">
        <v>1.7750000000000001E-3</v>
      </c>
      <c r="L128">
        <v>5.2899999999999996E-4</v>
      </c>
      <c r="M128">
        <v>32.5</v>
      </c>
      <c r="N128">
        <v>9.2000000000000003E-4</v>
      </c>
      <c r="O128">
        <v>83.780252946885298</v>
      </c>
      <c r="P128">
        <v>3.2499999999999999E-4</v>
      </c>
      <c r="Q128">
        <v>20</v>
      </c>
      <c r="R128" s="4" t="s">
        <v>264</v>
      </c>
      <c r="S128" t="s">
        <v>265</v>
      </c>
    </row>
    <row r="129" spans="1:19" ht="15" customHeight="1" x14ac:dyDescent="0.25">
      <c r="A129" t="s">
        <v>164</v>
      </c>
      <c r="B129" t="s">
        <v>251</v>
      </c>
      <c r="C129" t="s">
        <v>134</v>
      </c>
      <c r="D129" s="3">
        <v>45954</v>
      </c>
      <c r="E129" t="s">
        <v>54</v>
      </c>
      <c r="F129" t="s">
        <v>23</v>
      </c>
      <c r="G129" t="str">
        <f t="shared" si="9"/>
        <v>/code/TS3-S3/mlongt5</v>
      </c>
      <c r="H129" t="s">
        <v>169</v>
      </c>
      <c r="I129" t="str">
        <f t="shared" si="3"/>
        <v>/output/TS3/S3/mLongT5/CPU</v>
      </c>
      <c r="J129">
        <v>141.43143828000001</v>
      </c>
      <c r="K129">
        <v>2.0430000000000001E-3</v>
      </c>
      <c r="L129">
        <v>1.2650000000000001E-3</v>
      </c>
      <c r="M129">
        <v>32.5</v>
      </c>
      <c r="N129" t="s">
        <v>25</v>
      </c>
      <c r="O129" t="s">
        <v>25</v>
      </c>
      <c r="P129">
        <v>7.7800000000000005E-4</v>
      </c>
      <c r="Q129">
        <v>20</v>
      </c>
      <c r="R129" s="4" t="s">
        <v>266</v>
      </c>
      <c r="S129" t="s">
        <v>267</v>
      </c>
    </row>
    <row r="130" spans="1:19" ht="15" customHeight="1" x14ac:dyDescent="0.25">
      <c r="A130" t="s">
        <v>164</v>
      </c>
      <c r="B130" t="s">
        <v>251</v>
      </c>
      <c r="C130" t="s">
        <v>134</v>
      </c>
      <c r="D130" s="3">
        <v>45954</v>
      </c>
      <c r="E130" t="s">
        <v>54</v>
      </c>
      <c r="F130" t="s">
        <v>48</v>
      </c>
      <c r="G130" t="str">
        <f t="shared" si="9"/>
        <v>/code/TS3-S3/mlongt5</v>
      </c>
      <c r="H130" t="s">
        <v>169</v>
      </c>
      <c r="I130" t="str">
        <f t="shared" si="3"/>
        <v>/output/TS3/S3/mLongT5/GPU</v>
      </c>
      <c r="J130">
        <v>49.986265390999897</v>
      </c>
      <c r="K130">
        <v>1.3760000000000001E-3</v>
      </c>
      <c r="L130">
        <v>4.37E-4</v>
      </c>
      <c r="M130">
        <v>32.5</v>
      </c>
      <c r="N130">
        <v>6.7000000000000002E-4</v>
      </c>
      <c r="O130">
        <v>83.351912769893403</v>
      </c>
      <c r="P130">
        <v>2.6899999999999998E-4</v>
      </c>
      <c r="Q130">
        <v>20</v>
      </c>
      <c r="R130" s="4" t="s">
        <v>268</v>
      </c>
      <c r="S130" t="s">
        <v>269</v>
      </c>
    </row>
    <row r="131" spans="1:19" ht="15" customHeight="1" x14ac:dyDescent="0.25">
      <c r="A131" t="s">
        <v>164</v>
      </c>
      <c r="B131" t="s">
        <v>251</v>
      </c>
      <c r="C131" t="s">
        <v>134</v>
      </c>
      <c r="D131" s="3">
        <v>45954</v>
      </c>
      <c r="E131" t="s">
        <v>54</v>
      </c>
      <c r="F131" t="s">
        <v>23</v>
      </c>
      <c r="G131" t="str">
        <f t="shared" si="9"/>
        <v>/code/TS3-S3/mlongt5</v>
      </c>
      <c r="H131" t="s">
        <v>172</v>
      </c>
      <c r="I131" t="str">
        <f t="shared" ref="I131:I146" si="10">"/output/"&amp;B131&amp;"/"&amp;C131&amp;"/"&amp;F131</f>
        <v>/output/TS3/S3/mLongT5/CPU</v>
      </c>
      <c r="J131">
        <v>670.144592257</v>
      </c>
      <c r="K131">
        <v>9.7540000000000005E-3</v>
      </c>
      <c r="L131">
        <v>6.038E-3</v>
      </c>
      <c r="M131">
        <v>32.5</v>
      </c>
      <c r="N131" t="s">
        <v>25</v>
      </c>
      <c r="O131" t="s">
        <v>25</v>
      </c>
      <c r="P131">
        <v>3.7160000000000001E-3</v>
      </c>
      <c r="Q131">
        <v>20</v>
      </c>
      <c r="R131" s="4" t="s">
        <v>270</v>
      </c>
      <c r="S131" t="s">
        <v>271</v>
      </c>
    </row>
    <row r="132" spans="1:19" ht="15" customHeight="1" x14ac:dyDescent="0.25">
      <c r="A132" t="s">
        <v>164</v>
      </c>
      <c r="B132" t="s">
        <v>251</v>
      </c>
      <c r="C132" t="s">
        <v>134</v>
      </c>
      <c r="D132" s="3">
        <v>45954</v>
      </c>
      <c r="E132" t="s">
        <v>54</v>
      </c>
      <c r="F132" t="s">
        <v>48</v>
      </c>
      <c r="G132" t="str">
        <f t="shared" si="9"/>
        <v>/code/TS3-S3/mlongt5</v>
      </c>
      <c r="H132" t="s">
        <v>172</v>
      </c>
      <c r="I132" t="str">
        <f t="shared" si="10"/>
        <v>/output/TS3/S3/mLongT5/GPU</v>
      </c>
      <c r="J132">
        <v>50.063651768999897</v>
      </c>
      <c r="K132">
        <v>1.8810000000000001E-3</v>
      </c>
      <c r="L132">
        <v>4.3800000000000002E-4</v>
      </c>
      <c r="M132">
        <v>32.5</v>
      </c>
      <c r="N132">
        <v>1.173E-3</v>
      </c>
      <c r="O132">
        <v>157.82269247561101</v>
      </c>
      <c r="P132">
        <v>2.7E-4</v>
      </c>
      <c r="Q132">
        <v>20</v>
      </c>
      <c r="R132" s="4" t="s">
        <v>272</v>
      </c>
      <c r="S132" t="s">
        <v>273</v>
      </c>
    </row>
    <row r="133" spans="1:19" ht="15" customHeight="1" x14ac:dyDescent="0.25">
      <c r="A133" t="s">
        <v>164</v>
      </c>
      <c r="B133" t="s">
        <v>251</v>
      </c>
      <c r="C133" t="s">
        <v>134</v>
      </c>
      <c r="D133" s="3">
        <v>45954</v>
      </c>
      <c r="E133" t="s">
        <v>54</v>
      </c>
      <c r="F133" t="s">
        <v>23</v>
      </c>
      <c r="G133" t="str">
        <f t="shared" si="9"/>
        <v>/code/TS3-S3/mlongt5</v>
      </c>
      <c r="H133" t="s">
        <v>175</v>
      </c>
      <c r="I133" t="str">
        <f t="shared" si="10"/>
        <v>/output/TS3/S3/mLongT5/CPU</v>
      </c>
      <c r="J133">
        <v>295.150229572</v>
      </c>
      <c r="K133">
        <v>4.2849999999999997E-3</v>
      </c>
      <c r="L133">
        <v>2.653E-3</v>
      </c>
      <c r="M133">
        <v>32.5</v>
      </c>
      <c r="N133" t="s">
        <v>25</v>
      </c>
      <c r="O133" t="s">
        <v>25</v>
      </c>
      <c r="P133">
        <v>1.632E-3</v>
      </c>
      <c r="Q133">
        <v>20</v>
      </c>
      <c r="R133" s="4" t="s">
        <v>274</v>
      </c>
      <c r="S133" t="s">
        <v>275</v>
      </c>
    </row>
    <row r="134" spans="1:19" ht="15" customHeight="1" x14ac:dyDescent="0.25">
      <c r="A134" t="s">
        <v>164</v>
      </c>
      <c r="B134" t="s">
        <v>251</v>
      </c>
      <c r="C134" t="s">
        <v>134</v>
      </c>
      <c r="D134" s="3">
        <v>45954</v>
      </c>
      <c r="E134" t="s">
        <v>54</v>
      </c>
      <c r="F134" t="s">
        <v>48</v>
      </c>
      <c r="G134" t="str">
        <f t="shared" si="9"/>
        <v>/code/TS3-S3/mlongt5</v>
      </c>
      <c r="H134" t="s">
        <v>175</v>
      </c>
      <c r="I134" t="str">
        <f t="shared" si="10"/>
        <v>/output/TS3/S3/mLongT5/GPU</v>
      </c>
      <c r="J134">
        <v>78.125925052999904</v>
      </c>
      <c r="K134">
        <v>2.5460000000000001E-3</v>
      </c>
      <c r="L134">
        <v>6.9099999999999999E-4</v>
      </c>
      <c r="M134">
        <v>32.5</v>
      </c>
      <c r="N134">
        <v>1.4289999999999999E-3</v>
      </c>
      <c r="O134">
        <v>100.167740069494</v>
      </c>
      <c r="P134">
        <v>4.26E-4</v>
      </c>
      <c r="Q134">
        <v>20</v>
      </c>
      <c r="R134" s="4" t="s">
        <v>276</v>
      </c>
      <c r="S134" t="s">
        <v>277</v>
      </c>
    </row>
    <row r="135" spans="1:19" ht="15" customHeight="1" x14ac:dyDescent="0.25">
      <c r="A135" t="s">
        <v>164</v>
      </c>
      <c r="B135" t="s">
        <v>251</v>
      </c>
      <c r="C135" t="s">
        <v>134</v>
      </c>
      <c r="D135" s="3">
        <v>45954</v>
      </c>
      <c r="E135" t="s">
        <v>54</v>
      </c>
      <c r="F135" t="s">
        <v>23</v>
      </c>
      <c r="G135" t="str">
        <f t="shared" si="9"/>
        <v>/code/TS3-S3/mlongt5</v>
      </c>
      <c r="H135" t="s">
        <v>178</v>
      </c>
      <c r="I135" t="str">
        <f t="shared" si="10"/>
        <v>/output/TS3/S3/mLongT5/CPU</v>
      </c>
      <c r="J135">
        <v>110.61737911100001</v>
      </c>
      <c r="K135">
        <v>1.5939999999999999E-3</v>
      </c>
      <c r="L135">
        <v>9.8700000000000003E-4</v>
      </c>
      <c r="M135">
        <v>32.5</v>
      </c>
      <c r="N135" t="s">
        <v>25</v>
      </c>
      <c r="O135" t="s">
        <v>25</v>
      </c>
      <c r="P135">
        <v>6.0700000000000001E-4</v>
      </c>
      <c r="Q135">
        <v>20</v>
      </c>
      <c r="R135" s="4" t="s">
        <v>278</v>
      </c>
      <c r="S135" t="s">
        <v>279</v>
      </c>
    </row>
    <row r="136" spans="1:19" ht="15" customHeight="1" x14ac:dyDescent="0.25">
      <c r="A136" t="s">
        <v>164</v>
      </c>
      <c r="B136" t="s">
        <v>251</v>
      </c>
      <c r="C136" t="s">
        <v>134</v>
      </c>
      <c r="D136" s="3">
        <v>45954</v>
      </c>
      <c r="E136" t="s">
        <v>54</v>
      </c>
      <c r="F136" t="s">
        <v>48</v>
      </c>
      <c r="G136" t="str">
        <f t="shared" si="9"/>
        <v>/code/TS3-S3/mlongt5</v>
      </c>
      <c r="H136" t="s">
        <v>178</v>
      </c>
      <c r="I136" t="str">
        <f t="shared" si="10"/>
        <v>/output/TS3/S3/mLongT5/GPU</v>
      </c>
      <c r="J136">
        <v>40.186660885000002</v>
      </c>
      <c r="K136">
        <v>1.0640000000000001E-3</v>
      </c>
      <c r="L136">
        <v>3.4900000000000003E-4</v>
      </c>
      <c r="M136">
        <v>32.5</v>
      </c>
      <c r="N136">
        <v>5.0100000000000003E-4</v>
      </c>
      <c r="O136">
        <v>93.220206311745898</v>
      </c>
      <c r="P136">
        <v>2.1499999999999999E-4</v>
      </c>
      <c r="Q136">
        <v>20</v>
      </c>
      <c r="R136" s="4" t="s">
        <v>280</v>
      </c>
      <c r="S136" t="s">
        <v>281</v>
      </c>
    </row>
    <row r="137" spans="1:19" ht="15" customHeight="1" x14ac:dyDescent="0.25">
      <c r="A137" t="s">
        <v>164</v>
      </c>
      <c r="B137" t="s">
        <v>251</v>
      </c>
      <c r="C137" t="s">
        <v>191</v>
      </c>
      <c r="D137" s="3">
        <v>45954</v>
      </c>
      <c r="E137" t="s">
        <v>54</v>
      </c>
      <c r="F137" t="s">
        <v>23</v>
      </c>
      <c r="G137" t="str">
        <f t="shared" ref="G137:G146" si="11">"/code/TS3-"&amp;E137&amp;"/mistralnemo"</f>
        <v>/code/TS3-S3/mistralnemo</v>
      </c>
      <c r="H137" t="s">
        <v>166</v>
      </c>
      <c r="I137" t="str">
        <f t="shared" si="10"/>
        <v>/output/TS3/S3/Mistral Nemo/CPU</v>
      </c>
      <c r="J137">
        <v>417.53588007099802</v>
      </c>
      <c r="K137">
        <v>6.0699999999999999E-3</v>
      </c>
      <c r="L137">
        <v>3.7569999999999999E-3</v>
      </c>
      <c r="M137">
        <v>32.5</v>
      </c>
      <c r="N137" t="s">
        <v>25</v>
      </c>
      <c r="O137" t="s">
        <v>25</v>
      </c>
      <c r="P137">
        <v>2.3119999999999998E-3</v>
      </c>
      <c r="Q137">
        <v>20</v>
      </c>
      <c r="R137" s="4" t="s">
        <v>282</v>
      </c>
      <c r="S137" t="s">
        <v>283</v>
      </c>
    </row>
    <row r="138" spans="1:19" ht="15" customHeight="1" x14ac:dyDescent="0.25">
      <c r="A138" t="s">
        <v>164</v>
      </c>
      <c r="B138" t="s">
        <v>251</v>
      </c>
      <c r="C138" t="s">
        <v>191</v>
      </c>
      <c r="D138" s="3">
        <v>45954</v>
      </c>
      <c r="E138" t="s">
        <v>54</v>
      </c>
      <c r="F138" t="s">
        <v>48</v>
      </c>
      <c r="G138" t="str">
        <f t="shared" si="11"/>
        <v>/code/TS3-S3/mistralnemo</v>
      </c>
      <c r="H138" t="s">
        <v>166</v>
      </c>
      <c r="I138" t="str">
        <f t="shared" si="10"/>
        <v>/output/TS3/S3/Mistral Nemo/GPU</v>
      </c>
      <c r="J138">
        <v>9.5994246590016701</v>
      </c>
      <c r="K138">
        <v>5.5500000000000005E-4</v>
      </c>
      <c r="L138">
        <v>7.4999999999999993E-5</v>
      </c>
      <c r="M138">
        <v>32.5</v>
      </c>
      <c r="N138">
        <v>4.3399999999999998E-4</v>
      </c>
      <c r="O138">
        <v>188.696470822306</v>
      </c>
      <c r="P138">
        <v>4.6E-5</v>
      </c>
      <c r="Q138">
        <v>20</v>
      </c>
      <c r="R138" s="4" t="s">
        <v>284</v>
      </c>
      <c r="S138" t="s">
        <v>285</v>
      </c>
    </row>
    <row r="139" spans="1:19" ht="15" customHeight="1" x14ac:dyDescent="0.25">
      <c r="A139" t="s">
        <v>164</v>
      </c>
      <c r="B139" t="s">
        <v>251</v>
      </c>
      <c r="C139" t="s">
        <v>191</v>
      </c>
      <c r="D139" s="3">
        <v>45954</v>
      </c>
      <c r="E139" t="s">
        <v>54</v>
      </c>
      <c r="F139" t="s">
        <v>23</v>
      </c>
      <c r="G139" t="str">
        <f t="shared" si="11"/>
        <v>/code/TS3-S3/mistralnemo</v>
      </c>
      <c r="H139" t="s">
        <v>169</v>
      </c>
      <c r="I139" t="str">
        <f t="shared" si="10"/>
        <v>/output/TS3/S3/Mistral Nemo/CPU</v>
      </c>
      <c r="J139">
        <v>203.13048774299901</v>
      </c>
      <c r="K139">
        <v>2.9429999999999999E-3</v>
      </c>
      <c r="L139">
        <v>1.8220000000000001E-3</v>
      </c>
      <c r="M139">
        <v>32.5</v>
      </c>
      <c r="N139" t="s">
        <v>25</v>
      </c>
      <c r="O139" t="s">
        <v>25</v>
      </c>
      <c r="P139">
        <v>1.121E-3</v>
      </c>
      <c r="Q139">
        <v>20</v>
      </c>
      <c r="R139" s="4" t="s">
        <v>286</v>
      </c>
      <c r="S139" t="s">
        <v>287</v>
      </c>
    </row>
    <row r="140" spans="1:19" ht="15" customHeight="1" x14ac:dyDescent="0.25">
      <c r="A140" t="s">
        <v>164</v>
      </c>
      <c r="B140" t="s">
        <v>251</v>
      </c>
      <c r="C140" t="s">
        <v>191</v>
      </c>
      <c r="D140" s="3">
        <v>45954</v>
      </c>
      <c r="E140" t="s">
        <v>54</v>
      </c>
      <c r="F140" t="s">
        <v>48</v>
      </c>
      <c r="G140" t="str">
        <f t="shared" si="11"/>
        <v>/code/TS3-S3/mistralnemo</v>
      </c>
      <c r="H140" t="s">
        <v>169</v>
      </c>
      <c r="I140" t="str">
        <f t="shared" si="10"/>
        <v>/output/TS3/S3/Mistral Nemo/GPU</v>
      </c>
      <c r="J140">
        <v>7.9394044500004304</v>
      </c>
      <c r="K140">
        <v>4.4200000000000001E-4</v>
      </c>
      <c r="L140">
        <v>6.0000000000000002E-5</v>
      </c>
      <c r="M140">
        <v>32.5</v>
      </c>
      <c r="N140">
        <v>3.4600000000000001E-4</v>
      </c>
      <c r="O140">
        <v>188.40227857083701</v>
      </c>
      <c r="P140">
        <v>3.6999999999999998E-5</v>
      </c>
      <c r="Q140">
        <v>20</v>
      </c>
      <c r="R140" s="4" t="s">
        <v>288</v>
      </c>
      <c r="S140" t="s">
        <v>289</v>
      </c>
    </row>
    <row r="141" spans="1:19" ht="15" customHeight="1" x14ac:dyDescent="0.25">
      <c r="A141" t="s">
        <v>164</v>
      </c>
      <c r="B141" t="s">
        <v>251</v>
      </c>
      <c r="C141" t="s">
        <v>191</v>
      </c>
      <c r="D141" s="3">
        <v>45954</v>
      </c>
      <c r="E141" t="s">
        <v>54</v>
      </c>
      <c r="F141" t="s">
        <v>23</v>
      </c>
      <c r="G141" t="str">
        <f t="shared" si="11"/>
        <v>/code/TS3-S3/mistralnemo</v>
      </c>
      <c r="H141" t="s">
        <v>172</v>
      </c>
      <c r="I141" t="str">
        <f t="shared" si="10"/>
        <v>/output/TS3/S3/Mistral Nemo/CPU</v>
      </c>
      <c r="J141">
        <v>853.12648367499901</v>
      </c>
      <c r="K141">
        <v>1.2422000000000001E-2</v>
      </c>
      <c r="L141">
        <v>7.6899999999999998E-3</v>
      </c>
      <c r="M141">
        <v>32.5</v>
      </c>
      <c r="N141" t="s">
        <v>25</v>
      </c>
      <c r="O141" t="s">
        <v>25</v>
      </c>
      <c r="P141">
        <v>4.7320000000000001E-3</v>
      </c>
      <c r="Q141">
        <v>20</v>
      </c>
      <c r="R141" s="4" t="s">
        <v>290</v>
      </c>
      <c r="S141" t="s">
        <v>291</v>
      </c>
    </row>
    <row r="142" spans="1:19" ht="15" customHeight="1" x14ac:dyDescent="0.25">
      <c r="A142" t="s">
        <v>164</v>
      </c>
      <c r="B142" t="s">
        <v>251</v>
      </c>
      <c r="C142" t="s">
        <v>191</v>
      </c>
      <c r="D142" s="3">
        <v>45954</v>
      </c>
      <c r="E142" t="s">
        <v>54</v>
      </c>
      <c r="F142" t="s">
        <v>48</v>
      </c>
      <c r="G142" t="str">
        <f t="shared" si="11"/>
        <v>/code/TS3-S3/mistralnemo</v>
      </c>
      <c r="H142" t="s">
        <v>172</v>
      </c>
      <c r="I142" t="str">
        <f t="shared" si="10"/>
        <v>/output/TS3/S3/Mistral Nemo/GPU</v>
      </c>
      <c r="J142">
        <v>16.483709479000002</v>
      </c>
      <c r="K142">
        <v>1.1609999999999999E-3</v>
      </c>
      <c r="L142">
        <v>1.37E-4</v>
      </c>
      <c r="M142">
        <v>32.5</v>
      </c>
      <c r="N142">
        <v>9.3999999999999997E-4</v>
      </c>
      <c r="O142">
        <v>149.40040459425899</v>
      </c>
      <c r="P142">
        <v>8.3999999999999995E-5</v>
      </c>
      <c r="Q142">
        <v>20</v>
      </c>
      <c r="R142" s="4" t="s">
        <v>292</v>
      </c>
      <c r="S142" t="s">
        <v>293</v>
      </c>
    </row>
    <row r="143" spans="1:19" ht="15" customHeight="1" x14ac:dyDescent="0.25">
      <c r="A143" t="s">
        <v>164</v>
      </c>
      <c r="B143" t="s">
        <v>251</v>
      </c>
      <c r="C143" t="s">
        <v>191</v>
      </c>
      <c r="D143" s="3">
        <v>45954</v>
      </c>
      <c r="E143" t="s">
        <v>54</v>
      </c>
      <c r="F143" t="s">
        <v>23</v>
      </c>
      <c r="G143" t="str">
        <f t="shared" si="11"/>
        <v>/code/TS3-S3/mistralnemo</v>
      </c>
      <c r="H143" t="s">
        <v>175</v>
      </c>
      <c r="I143" t="str">
        <f t="shared" si="10"/>
        <v>/output/TS3/S3/Mistral Nemo/CPU</v>
      </c>
      <c r="J143">
        <v>994.40590268100198</v>
      </c>
      <c r="K143">
        <v>1.4482E-2</v>
      </c>
      <c r="L143">
        <v>8.9650000000000007E-3</v>
      </c>
      <c r="M143">
        <v>32.5</v>
      </c>
      <c r="N143" t="s">
        <v>25</v>
      </c>
      <c r="O143" t="s">
        <v>25</v>
      </c>
      <c r="P143">
        <v>5.5170000000000002E-3</v>
      </c>
      <c r="Q143">
        <v>20</v>
      </c>
      <c r="R143" s="4" t="s">
        <v>294</v>
      </c>
      <c r="S143" t="s">
        <v>295</v>
      </c>
    </row>
    <row r="144" spans="1:19" ht="15" customHeight="1" x14ac:dyDescent="0.25">
      <c r="A144" t="s">
        <v>164</v>
      </c>
      <c r="B144" t="s">
        <v>251</v>
      </c>
      <c r="C144" t="s">
        <v>191</v>
      </c>
      <c r="D144" s="3">
        <v>45954</v>
      </c>
      <c r="E144" t="s">
        <v>54</v>
      </c>
      <c r="F144" t="s">
        <v>48</v>
      </c>
      <c r="G144" t="str">
        <f t="shared" si="11"/>
        <v>/code/TS3-S3/mistralnemo</v>
      </c>
      <c r="H144" t="s">
        <v>175</v>
      </c>
      <c r="I144" t="str">
        <f t="shared" si="10"/>
        <v>/output/TS3/S3/Mistral Nemo/GPU</v>
      </c>
      <c r="J144">
        <v>45.646572687000997</v>
      </c>
      <c r="K144">
        <v>3.189E-3</v>
      </c>
      <c r="L144">
        <v>4.0000000000000002E-4</v>
      </c>
      <c r="M144">
        <v>32.5</v>
      </c>
      <c r="N144">
        <v>2.5430000000000001E-3</v>
      </c>
      <c r="O144">
        <v>209.54036401146999</v>
      </c>
      <c r="P144">
        <v>2.4600000000000002E-4</v>
      </c>
      <c r="Q144">
        <v>20</v>
      </c>
      <c r="R144" s="4" t="s">
        <v>296</v>
      </c>
      <c r="S144" t="s">
        <v>297</v>
      </c>
    </row>
    <row r="145" spans="1:19" ht="15" customHeight="1" x14ac:dyDescent="0.25">
      <c r="A145" t="s">
        <v>164</v>
      </c>
      <c r="B145" t="s">
        <v>251</v>
      </c>
      <c r="C145" t="s">
        <v>191</v>
      </c>
      <c r="D145" s="3">
        <v>45954</v>
      </c>
      <c r="E145" t="s">
        <v>54</v>
      </c>
      <c r="F145" t="s">
        <v>23</v>
      </c>
      <c r="G145" t="str">
        <f t="shared" si="11"/>
        <v>/code/TS3-S3/mistralnemo</v>
      </c>
      <c r="H145" t="s">
        <v>178</v>
      </c>
      <c r="I145" t="str">
        <f t="shared" si="10"/>
        <v>/output/TS3/S3/Mistral Nemo/CPU</v>
      </c>
      <c r="J145">
        <v>688.69561948099999</v>
      </c>
      <c r="K145">
        <v>1.0024E-2</v>
      </c>
      <c r="L145">
        <v>6.2049999999999996E-3</v>
      </c>
      <c r="M145">
        <v>32.5</v>
      </c>
      <c r="N145" t="s">
        <v>25</v>
      </c>
      <c r="O145" t="s">
        <v>25</v>
      </c>
      <c r="P145">
        <v>3.8189999999999999E-3</v>
      </c>
      <c r="Q145">
        <v>20</v>
      </c>
      <c r="R145" s="4" t="s">
        <v>298</v>
      </c>
      <c r="S145" t="s">
        <v>299</v>
      </c>
    </row>
    <row r="146" spans="1:19" ht="15" customHeight="1" x14ac:dyDescent="0.25">
      <c r="A146" t="s">
        <v>164</v>
      </c>
      <c r="B146" t="s">
        <v>251</v>
      </c>
      <c r="C146" t="s">
        <v>191</v>
      </c>
      <c r="D146" s="3">
        <v>45954</v>
      </c>
      <c r="E146" t="s">
        <v>54</v>
      </c>
      <c r="F146" t="s">
        <v>48</v>
      </c>
      <c r="G146" t="str">
        <f t="shared" si="11"/>
        <v>/code/TS3-S3/mistralnemo</v>
      </c>
      <c r="H146" t="s">
        <v>178</v>
      </c>
      <c r="I146" t="str">
        <f t="shared" si="10"/>
        <v>/output/TS3/S3/Mistral Nemo/GPU</v>
      </c>
      <c r="J146">
        <v>16.974249656999699</v>
      </c>
      <c r="K146">
        <v>1.1249999999999999E-3</v>
      </c>
      <c r="L146">
        <v>1.4100000000000001E-4</v>
      </c>
      <c r="M146">
        <v>32.5</v>
      </c>
      <c r="N146">
        <v>8.9700000000000001E-4</v>
      </c>
      <c r="O146">
        <v>202.35643389222</v>
      </c>
      <c r="P146">
        <v>8.7000000000000001E-5</v>
      </c>
      <c r="Q146">
        <v>20</v>
      </c>
      <c r="R146" s="4" t="s">
        <v>300</v>
      </c>
      <c r="S146" t="s">
        <v>301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5215C-0053-4438-A7B2-4391DEABAE3A}">
  <dimension ref="A1:S96"/>
  <sheetViews>
    <sheetView workbookViewId="0"/>
  </sheetViews>
  <sheetFormatPr baseColWidth="10" defaultColWidth="9.140625" defaultRowHeight="15" x14ac:dyDescent="0.25"/>
  <cols>
    <col min="1" max="1" width="38.140625" bestFit="1" customWidth="1"/>
    <col min="2" max="2" width="8.140625" bestFit="1" customWidth="1"/>
    <col min="3" max="3" width="15.140625" bestFit="1" customWidth="1"/>
    <col min="4" max="4" width="7.28515625" bestFit="1" customWidth="1"/>
    <col min="5" max="5" width="9.140625" bestFit="1" customWidth="1"/>
    <col min="6" max="6" width="38.7109375" customWidth="1"/>
    <col min="7" max="7" width="22.28515625" bestFit="1" customWidth="1"/>
    <col min="8" max="8" width="28.42578125" bestFit="1" customWidth="1"/>
    <col min="9" max="9" width="4.5703125" bestFit="1" customWidth="1"/>
    <col min="10" max="10" width="20.140625" bestFit="1" customWidth="1"/>
    <col min="11" max="11" width="16.85546875" bestFit="1" customWidth="1"/>
    <col min="12" max="12" width="16.28515625" bestFit="1" customWidth="1"/>
    <col min="13" max="13" width="13.85546875" bestFit="1" customWidth="1"/>
    <col min="14" max="14" width="16.42578125" bestFit="1" customWidth="1"/>
    <col min="15" max="15" width="14" bestFit="1" customWidth="1"/>
    <col min="16" max="16" width="16.42578125" bestFit="1" customWidth="1"/>
    <col min="17" max="17" width="14" bestFit="1" customWidth="1"/>
    <col min="18" max="18" width="37" customWidth="1"/>
    <col min="19" max="19" width="46.140625" customWidth="1"/>
  </cols>
  <sheetData>
    <row r="1" spans="1:19" s="1" customFormat="1" ht="15" customHeight="1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1034</v>
      </c>
      <c r="I1" s="1" t="s">
        <v>302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thickTop="1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tr">
        <f t="shared" ref="F2:F7" si="0">"/code/"&amp;"NLG-"&amp;D2&amp;"/markov"</f>
        <v>/code/NLG-S1/markov</v>
      </c>
      <c r="G2" t="s">
        <v>1035</v>
      </c>
      <c r="H2">
        <v>4984.2015293429904</v>
      </c>
      <c r="I2" t="s">
        <v>303</v>
      </c>
      <c r="J2">
        <v>437.32480759700002</v>
      </c>
      <c r="K2">
        <v>2.9139999999999999E-3</v>
      </c>
      <c r="L2">
        <v>1.6999999999999999E-3</v>
      </c>
      <c r="M2">
        <v>20</v>
      </c>
      <c r="N2" t="s">
        <v>25</v>
      </c>
      <c r="O2" t="s">
        <v>25</v>
      </c>
      <c r="P2">
        <v>1.2130000000000001E-3</v>
      </c>
      <c r="Q2">
        <v>10</v>
      </c>
      <c r="R2" s="4" t="s">
        <v>396</v>
      </c>
      <c r="S2" t="s">
        <v>309</v>
      </c>
    </row>
    <row r="3" spans="1:19" ht="15" customHeight="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tr">
        <f t="shared" si="0"/>
        <v>/code/NLG-S1/markov</v>
      </c>
      <c r="G3" t="s">
        <v>1035</v>
      </c>
      <c r="H3">
        <v>4984.2015293429904</v>
      </c>
      <c r="I3" t="s">
        <v>304</v>
      </c>
      <c r="J3">
        <v>416.886696551</v>
      </c>
      <c r="K3">
        <v>2.7780000000000001E-3</v>
      </c>
      <c r="L3">
        <v>1.621E-3</v>
      </c>
      <c r="M3">
        <v>20</v>
      </c>
      <c r="N3" t="s">
        <v>25</v>
      </c>
      <c r="O3" t="s">
        <v>25</v>
      </c>
      <c r="P3">
        <v>1.157E-3</v>
      </c>
      <c r="Q3">
        <v>10</v>
      </c>
      <c r="R3" s="4" t="s">
        <v>397</v>
      </c>
      <c r="S3" t="s">
        <v>306</v>
      </c>
    </row>
    <row r="4" spans="1:19" ht="15" customHeight="1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tr">
        <f t="shared" si="0"/>
        <v>/code/NLG-S1/markov</v>
      </c>
      <c r="G4" t="s">
        <v>1035</v>
      </c>
      <c r="H4">
        <v>4984.2015293429904</v>
      </c>
      <c r="I4" t="s">
        <v>305</v>
      </c>
      <c r="J4">
        <v>425.45201109200002</v>
      </c>
      <c r="K4">
        <v>2.8349999999999998E-3</v>
      </c>
      <c r="L4">
        <v>1.6540000000000001E-3</v>
      </c>
      <c r="M4">
        <v>20</v>
      </c>
      <c r="N4" t="s">
        <v>25</v>
      </c>
      <c r="O4" t="s">
        <v>25</v>
      </c>
      <c r="P4">
        <v>1.181E-3</v>
      </c>
      <c r="Q4">
        <v>10</v>
      </c>
      <c r="R4" s="4" t="s">
        <v>398</v>
      </c>
      <c r="S4" t="s">
        <v>307</v>
      </c>
    </row>
    <row r="5" spans="1:19" ht="15" customHeight="1" x14ac:dyDescent="0.25">
      <c r="A5" t="s">
        <v>19</v>
      </c>
      <c r="B5" t="s">
        <v>20</v>
      </c>
      <c r="C5" t="s">
        <v>28</v>
      </c>
      <c r="D5" t="s">
        <v>22</v>
      </c>
      <c r="E5" t="s">
        <v>23</v>
      </c>
      <c r="F5" t="str">
        <f t="shared" si="0"/>
        <v>/code/NLG-S1/markov</v>
      </c>
      <c r="G5" t="s">
        <v>1035</v>
      </c>
      <c r="H5">
        <v>2263.8543004580001</v>
      </c>
      <c r="I5" t="s">
        <v>303</v>
      </c>
      <c r="J5">
        <v>192.78195699399899</v>
      </c>
      <c r="K5">
        <v>1.2849999999999999E-3</v>
      </c>
      <c r="L5">
        <v>7.5000000000000002E-4</v>
      </c>
      <c r="M5">
        <v>20</v>
      </c>
      <c r="N5" t="s">
        <v>25</v>
      </c>
      <c r="O5" t="s">
        <v>25</v>
      </c>
      <c r="P5">
        <v>5.3499999999999999E-4</v>
      </c>
      <c r="Q5">
        <v>10</v>
      </c>
      <c r="R5" s="4" t="s">
        <v>399</v>
      </c>
      <c r="S5" t="s">
        <v>308</v>
      </c>
    </row>
    <row r="6" spans="1:19" ht="15" customHeight="1" x14ac:dyDescent="0.25">
      <c r="A6" t="s">
        <v>19</v>
      </c>
      <c r="B6" t="s">
        <v>20</v>
      </c>
      <c r="C6" t="s">
        <v>28</v>
      </c>
      <c r="D6" t="s">
        <v>22</v>
      </c>
      <c r="E6" t="s">
        <v>23</v>
      </c>
      <c r="F6" t="str">
        <f t="shared" si="0"/>
        <v>/code/NLG-S1/markov</v>
      </c>
      <c r="G6" t="s">
        <v>1035</v>
      </c>
      <c r="H6">
        <v>2263.8543004580001</v>
      </c>
      <c r="I6" t="s">
        <v>304</v>
      </c>
      <c r="J6">
        <v>192.70277221699999</v>
      </c>
      <c r="K6">
        <v>1.284E-3</v>
      </c>
      <c r="L6">
        <v>7.4899999999999999E-4</v>
      </c>
      <c r="M6">
        <v>20</v>
      </c>
      <c r="N6" t="s">
        <v>25</v>
      </c>
      <c r="O6" t="s">
        <v>25</v>
      </c>
      <c r="P6">
        <v>5.3499999999999999E-4</v>
      </c>
      <c r="Q6">
        <v>10</v>
      </c>
      <c r="R6" s="4" t="s">
        <v>400</v>
      </c>
      <c r="S6" t="s">
        <v>310</v>
      </c>
    </row>
    <row r="7" spans="1:19" ht="15" customHeight="1" x14ac:dyDescent="0.25">
      <c r="A7" t="s">
        <v>19</v>
      </c>
      <c r="B7" t="s">
        <v>20</v>
      </c>
      <c r="C7" t="s">
        <v>28</v>
      </c>
      <c r="D7" t="s">
        <v>22</v>
      </c>
      <c r="E7" t="s">
        <v>23</v>
      </c>
      <c r="F7" t="str">
        <f t="shared" si="0"/>
        <v>/code/NLG-S1/markov</v>
      </c>
      <c r="G7" t="s">
        <v>1035</v>
      </c>
      <c r="H7">
        <v>2263.8543004580001</v>
      </c>
      <c r="I7" t="s">
        <v>305</v>
      </c>
      <c r="J7">
        <v>189.536580458</v>
      </c>
      <c r="K7">
        <v>1.263E-3</v>
      </c>
      <c r="L7">
        <v>7.3700000000000002E-4</v>
      </c>
      <c r="M7">
        <v>20</v>
      </c>
      <c r="N7" t="s">
        <v>25</v>
      </c>
      <c r="O7" t="s">
        <v>25</v>
      </c>
      <c r="P7">
        <v>5.2599999999999999E-4</v>
      </c>
      <c r="Q7">
        <v>10</v>
      </c>
      <c r="R7" s="4" t="s">
        <v>401</v>
      </c>
      <c r="S7" t="s">
        <v>311</v>
      </c>
    </row>
    <row r="8" spans="1:19" ht="15" customHeight="1" x14ac:dyDescent="0.25">
      <c r="A8" t="s">
        <v>19</v>
      </c>
      <c r="B8" t="s">
        <v>20</v>
      </c>
      <c r="C8" t="s">
        <v>31</v>
      </c>
      <c r="D8" t="s">
        <v>22</v>
      </c>
      <c r="E8" t="s">
        <v>23</v>
      </c>
      <c r="F8" t="str">
        <f>"/code/"&amp;"NLG-"&amp;D8&amp;"/lstm"</f>
        <v>/code/NLG-S1/lstm</v>
      </c>
      <c r="G8" t="s">
        <v>1035</v>
      </c>
      <c r="H8">
        <v>157303.75823425999</v>
      </c>
      <c r="I8" t="s">
        <v>303</v>
      </c>
      <c r="J8">
        <v>14340.227351387</v>
      </c>
      <c r="K8">
        <v>9.5598000000000002E-2</v>
      </c>
      <c r="L8">
        <v>5.5766000000000003E-2</v>
      </c>
      <c r="M8">
        <v>20</v>
      </c>
      <c r="N8" t="s">
        <v>25</v>
      </c>
      <c r="O8" t="s">
        <v>25</v>
      </c>
      <c r="P8">
        <v>3.9831999999999999E-2</v>
      </c>
      <c r="Q8">
        <v>10</v>
      </c>
      <c r="R8" s="4" t="s">
        <v>402</v>
      </c>
      <c r="S8" t="s">
        <v>312</v>
      </c>
    </row>
    <row r="9" spans="1:19" ht="15" customHeight="1" x14ac:dyDescent="0.25">
      <c r="A9" t="s">
        <v>19</v>
      </c>
      <c r="B9" t="s">
        <v>20</v>
      </c>
      <c r="C9" t="s">
        <v>31</v>
      </c>
      <c r="D9" t="s">
        <v>22</v>
      </c>
      <c r="E9" t="s">
        <v>23</v>
      </c>
      <c r="F9" t="str">
        <f>"/code/"&amp;"NLG-"&amp;D9&amp;"/lstm"</f>
        <v>/code/NLG-S1/lstm</v>
      </c>
      <c r="G9" t="s">
        <v>1035</v>
      </c>
      <c r="H9">
        <v>157303.75823425999</v>
      </c>
      <c r="I9" t="s">
        <v>304</v>
      </c>
      <c r="J9">
        <v>14473.093366327001</v>
      </c>
      <c r="K9">
        <v>9.6484E-2</v>
      </c>
      <c r="L9">
        <v>5.6283E-2</v>
      </c>
      <c r="M9">
        <v>20</v>
      </c>
      <c r="N9" t="s">
        <v>25</v>
      </c>
      <c r="O9" t="s">
        <v>25</v>
      </c>
      <c r="P9">
        <v>4.0201000000000001E-2</v>
      </c>
      <c r="Q9">
        <v>10</v>
      </c>
      <c r="R9" s="4" t="s">
        <v>403</v>
      </c>
      <c r="S9" t="s">
        <v>313</v>
      </c>
    </row>
    <row r="10" spans="1:19" ht="15" customHeight="1" x14ac:dyDescent="0.25">
      <c r="A10" t="s">
        <v>19</v>
      </c>
      <c r="B10" t="s">
        <v>20</v>
      </c>
      <c r="C10" t="s">
        <v>31</v>
      </c>
      <c r="D10" t="s">
        <v>22</v>
      </c>
      <c r="E10" t="s">
        <v>23</v>
      </c>
      <c r="F10" t="str">
        <f>"/code/"&amp;"NLG-"&amp;D10&amp;"/lstm"</f>
        <v>/code/NLG-S1/lstm</v>
      </c>
      <c r="G10" t="s">
        <v>1035</v>
      </c>
      <c r="H10">
        <v>157303.75823425999</v>
      </c>
      <c r="I10" t="s">
        <v>305</v>
      </c>
      <c r="J10">
        <v>14418.7118059979</v>
      </c>
      <c r="K10">
        <v>9.6121999999999999E-2</v>
      </c>
      <c r="L10">
        <v>5.6071999999999997E-2</v>
      </c>
      <c r="M10">
        <v>20</v>
      </c>
      <c r="N10" t="s">
        <v>25</v>
      </c>
      <c r="O10" t="s">
        <v>25</v>
      </c>
      <c r="P10">
        <v>4.0050000000000002E-2</v>
      </c>
      <c r="Q10">
        <v>10</v>
      </c>
      <c r="R10" s="4" t="s">
        <v>404</v>
      </c>
      <c r="S10" t="s">
        <v>314</v>
      </c>
    </row>
    <row r="11" spans="1:19" ht="15" customHeight="1" x14ac:dyDescent="0.25">
      <c r="A11" t="s">
        <v>19</v>
      </c>
      <c r="B11" t="s">
        <v>20</v>
      </c>
      <c r="C11" t="s">
        <v>34</v>
      </c>
      <c r="D11" t="s">
        <v>22</v>
      </c>
      <c r="E11" t="s">
        <v>23</v>
      </c>
      <c r="F11" t="str">
        <f>"/code/"&amp;"NLG-"&amp;D11&amp;"/gpt"</f>
        <v>/code/NLG-S1/gpt</v>
      </c>
      <c r="G11" t="s">
        <v>1035</v>
      </c>
      <c r="H11">
        <v>15827.897751050001</v>
      </c>
      <c r="I11" t="s">
        <v>303</v>
      </c>
      <c r="J11">
        <v>1509.8722465450001</v>
      </c>
      <c r="K11">
        <v>1.0066E-2</v>
      </c>
      <c r="L11">
        <v>5.8719999999999996E-3</v>
      </c>
      <c r="M11">
        <v>20</v>
      </c>
      <c r="N11" t="s">
        <v>25</v>
      </c>
      <c r="O11" t="s">
        <v>25</v>
      </c>
      <c r="P11">
        <v>4.1939999999999998E-3</v>
      </c>
      <c r="Q11">
        <v>10</v>
      </c>
      <c r="R11" s="4" t="s">
        <v>405</v>
      </c>
      <c r="S11" t="s">
        <v>315</v>
      </c>
    </row>
    <row r="12" spans="1:19" ht="15" customHeight="1" x14ac:dyDescent="0.25">
      <c r="A12" t="s">
        <v>19</v>
      </c>
      <c r="B12" t="s">
        <v>20</v>
      </c>
      <c r="C12" t="s">
        <v>34</v>
      </c>
      <c r="D12" t="s">
        <v>22</v>
      </c>
      <c r="E12" t="s">
        <v>23</v>
      </c>
      <c r="F12" t="str">
        <f>"/code/"&amp;"NLG-"&amp;D12&amp;"/gpt"</f>
        <v>/code/NLG-S1/gpt</v>
      </c>
      <c r="G12" t="s">
        <v>1035</v>
      </c>
      <c r="H12">
        <v>15827.897751050001</v>
      </c>
      <c r="I12" t="s">
        <v>304</v>
      </c>
      <c r="J12">
        <v>1578.6612824010001</v>
      </c>
      <c r="K12">
        <v>1.0524E-2</v>
      </c>
      <c r="L12">
        <v>6.1390000000000004E-3</v>
      </c>
      <c r="M12">
        <v>20</v>
      </c>
      <c r="N12" t="s">
        <v>25</v>
      </c>
      <c r="O12" t="s">
        <v>25</v>
      </c>
      <c r="P12">
        <v>4.385E-3</v>
      </c>
      <c r="Q12">
        <v>10</v>
      </c>
      <c r="R12" s="4" t="s">
        <v>406</v>
      </c>
      <c r="S12" t="s">
        <v>316</v>
      </c>
    </row>
    <row r="13" spans="1:19" ht="15" customHeight="1" x14ac:dyDescent="0.25">
      <c r="A13" t="s">
        <v>19</v>
      </c>
      <c r="B13" t="s">
        <v>20</v>
      </c>
      <c r="C13" t="s">
        <v>34</v>
      </c>
      <c r="D13" t="s">
        <v>22</v>
      </c>
      <c r="E13" t="s">
        <v>23</v>
      </c>
      <c r="F13" t="str">
        <f>"/code/"&amp;"NLG-"&amp;D13&amp;"/gpt"</f>
        <v>/code/NLG-S1/gpt</v>
      </c>
      <c r="G13" t="s">
        <v>1035</v>
      </c>
      <c r="H13">
        <v>15827.897751050001</v>
      </c>
      <c r="I13" t="s">
        <v>305</v>
      </c>
      <c r="J13">
        <v>1446.719109939</v>
      </c>
      <c r="K13">
        <v>9.6439999999999998E-3</v>
      </c>
      <c r="L13">
        <v>5.6259999999999999E-3</v>
      </c>
      <c r="M13">
        <v>20</v>
      </c>
      <c r="N13" t="s">
        <v>25</v>
      </c>
      <c r="O13" t="s">
        <v>25</v>
      </c>
      <c r="P13">
        <v>4.0179999999999999E-3</v>
      </c>
      <c r="Q13">
        <v>10</v>
      </c>
      <c r="R13" s="4" t="s">
        <v>407</v>
      </c>
      <c r="S13" t="s">
        <v>317</v>
      </c>
    </row>
    <row r="14" spans="1:19" ht="15" customHeight="1" x14ac:dyDescent="0.25">
      <c r="A14" t="s">
        <v>19</v>
      </c>
      <c r="B14" t="s">
        <v>20</v>
      </c>
      <c r="C14" t="s">
        <v>37</v>
      </c>
      <c r="D14" t="s">
        <v>22</v>
      </c>
      <c r="E14" t="s">
        <v>23</v>
      </c>
      <c r="F14" t="str">
        <f>"/code/"&amp;"NLG-"&amp;D14&amp;"/gptfine"</f>
        <v>/code/NLG-S1/gptfine</v>
      </c>
      <c r="G14" t="s">
        <v>1035</v>
      </c>
      <c r="H14">
        <v>17448.705827144</v>
      </c>
      <c r="I14" t="s">
        <v>303</v>
      </c>
      <c r="J14">
        <v>1744.56931929599</v>
      </c>
      <c r="K14">
        <v>1.163E-2</v>
      </c>
      <c r="L14">
        <v>6.7840000000000001E-3</v>
      </c>
      <c r="M14">
        <v>20</v>
      </c>
      <c r="N14" t="s">
        <v>25</v>
      </c>
      <c r="O14" t="s">
        <v>25</v>
      </c>
      <c r="P14">
        <v>4.8459999999999996E-3</v>
      </c>
      <c r="Q14">
        <v>10</v>
      </c>
      <c r="R14" s="4" t="s">
        <v>408</v>
      </c>
      <c r="S14" t="s">
        <v>318</v>
      </c>
    </row>
    <row r="15" spans="1:19" ht="15" customHeight="1" x14ac:dyDescent="0.25">
      <c r="A15" t="s">
        <v>19</v>
      </c>
      <c r="B15" t="s">
        <v>20</v>
      </c>
      <c r="C15" t="s">
        <v>37</v>
      </c>
      <c r="D15" t="s">
        <v>22</v>
      </c>
      <c r="E15" t="s">
        <v>23</v>
      </c>
      <c r="F15" t="str">
        <f>"/code/"&amp;"NLG-"&amp;D15&amp;"/gptfine"</f>
        <v>/code/NLG-S1/gptfine</v>
      </c>
      <c r="G15" t="s">
        <v>1035</v>
      </c>
      <c r="H15">
        <v>17448.705827144</v>
      </c>
      <c r="I15" t="s">
        <v>304</v>
      </c>
      <c r="J15">
        <v>1768.942673756</v>
      </c>
      <c r="K15">
        <v>1.1793E-2</v>
      </c>
      <c r="L15">
        <v>6.8789999999999997E-3</v>
      </c>
      <c r="M15">
        <v>20</v>
      </c>
      <c r="N15" t="s">
        <v>25</v>
      </c>
      <c r="O15" t="s">
        <v>25</v>
      </c>
      <c r="P15">
        <v>4.9129999999999998E-3</v>
      </c>
      <c r="Q15">
        <v>10</v>
      </c>
      <c r="R15" s="4" t="s">
        <v>409</v>
      </c>
      <c r="S15" t="s">
        <v>319</v>
      </c>
    </row>
    <row r="16" spans="1:19" ht="15" customHeight="1" x14ac:dyDescent="0.25">
      <c r="A16" t="s">
        <v>19</v>
      </c>
      <c r="B16" t="s">
        <v>20</v>
      </c>
      <c r="C16" t="s">
        <v>37</v>
      </c>
      <c r="D16" t="s">
        <v>22</v>
      </c>
      <c r="E16" t="s">
        <v>23</v>
      </c>
      <c r="F16" t="str">
        <f>"/code/"&amp;"NLG-"&amp;D16&amp;"/gptfine"</f>
        <v>/code/NLG-S1/gptfine</v>
      </c>
      <c r="G16" t="s">
        <v>1035</v>
      </c>
      <c r="H16">
        <v>17448.705827144</v>
      </c>
      <c r="I16" t="s">
        <v>305</v>
      </c>
      <c r="J16">
        <v>1801.3467229370001</v>
      </c>
      <c r="K16">
        <v>1.2009000000000001E-2</v>
      </c>
      <c r="L16">
        <v>7.0049999999999999E-3</v>
      </c>
      <c r="M16">
        <v>20</v>
      </c>
      <c r="N16" t="s">
        <v>25</v>
      </c>
      <c r="O16" t="s">
        <v>25</v>
      </c>
      <c r="P16">
        <v>5.0029999999999996E-3</v>
      </c>
      <c r="Q16">
        <v>10</v>
      </c>
      <c r="R16" s="4" t="s">
        <v>410</v>
      </c>
      <c r="S16" t="s">
        <v>320</v>
      </c>
    </row>
    <row r="18" spans="1:19" ht="15" customHeight="1" x14ac:dyDescent="0.25">
      <c r="A18" t="s">
        <v>71</v>
      </c>
      <c r="B18" t="s">
        <v>72</v>
      </c>
      <c r="C18" t="s">
        <v>73</v>
      </c>
      <c r="D18" t="s">
        <v>22</v>
      </c>
      <c r="E18" t="s">
        <v>23</v>
      </c>
      <c r="F18" t="str">
        <f>"/code/"&amp;"TS1-"&amp;D18</f>
        <v>/code/TS1-S1</v>
      </c>
      <c r="G18" t="s">
        <v>1036</v>
      </c>
      <c r="H18">
        <v>564.13770877399998</v>
      </c>
      <c r="I18" t="s">
        <v>303</v>
      </c>
      <c r="J18">
        <v>45.511480639997899</v>
      </c>
      <c r="K18">
        <v>3.0299999999999999E-4</v>
      </c>
      <c r="L18">
        <v>1.7699999999999999E-4</v>
      </c>
      <c r="M18">
        <v>20</v>
      </c>
      <c r="N18" t="s">
        <v>25</v>
      </c>
      <c r="O18" t="s">
        <v>25</v>
      </c>
      <c r="P18">
        <v>1.26E-4</v>
      </c>
      <c r="Q18">
        <v>10</v>
      </c>
      <c r="R18" s="4" t="s">
        <v>411</v>
      </c>
      <c r="S18" t="s">
        <v>321</v>
      </c>
    </row>
    <row r="19" spans="1:19" ht="15" customHeight="1" x14ac:dyDescent="0.25">
      <c r="A19" t="s">
        <v>71</v>
      </c>
      <c r="B19" t="s">
        <v>72</v>
      </c>
      <c r="C19" t="s">
        <v>73</v>
      </c>
      <c r="D19" t="s">
        <v>22</v>
      </c>
      <c r="E19" t="s">
        <v>23</v>
      </c>
      <c r="F19" t="str">
        <f>"/code/"&amp;"TS1-"&amp;D19</f>
        <v>/code/TS1-S1</v>
      </c>
      <c r="G19" t="s">
        <v>1036</v>
      </c>
      <c r="H19">
        <v>564.13770877399998</v>
      </c>
      <c r="I19" t="s">
        <v>304</v>
      </c>
      <c r="J19">
        <v>45.3216576040031</v>
      </c>
      <c r="K19">
        <v>3.0200000000000002E-4</v>
      </c>
      <c r="L19">
        <v>1.76E-4</v>
      </c>
      <c r="M19">
        <v>20</v>
      </c>
      <c r="N19" t="s">
        <v>25</v>
      </c>
      <c r="O19" t="s">
        <v>25</v>
      </c>
      <c r="P19">
        <v>1.26E-4</v>
      </c>
      <c r="Q19">
        <v>10</v>
      </c>
      <c r="R19" s="4" t="s">
        <v>412</v>
      </c>
      <c r="S19" t="s">
        <v>322</v>
      </c>
    </row>
    <row r="20" spans="1:19" ht="15" customHeight="1" x14ac:dyDescent="0.25">
      <c r="A20" t="s">
        <v>71</v>
      </c>
      <c r="B20" t="s">
        <v>72</v>
      </c>
      <c r="C20" t="s">
        <v>73</v>
      </c>
      <c r="D20" t="s">
        <v>22</v>
      </c>
      <c r="E20" t="s">
        <v>23</v>
      </c>
      <c r="F20" t="str">
        <f>"/code/"&amp;"TS1-"&amp;D20</f>
        <v>/code/TS1-S1</v>
      </c>
      <c r="G20" t="s">
        <v>1036</v>
      </c>
      <c r="H20">
        <v>564.13770877399998</v>
      </c>
      <c r="I20" t="s">
        <v>305</v>
      </c>
      <c r="J20">
        <v>44.9033208370019</v>
      </c>
      <c r="K20">
        <v>2.99E-4</v>
      </c>
      <c r="L20">
        <v>1.75E-4</v>
      </c>
      <c r="M20">
        <v>20</v>
      </c>
      <c r="N20" t="s">
        <v>25</v>
      </c>
      <c r="O20" t="s">
        <v>25</v>
      </c>
      <c r="P20">
        <v>1.25E-4</v>
      </c>
      <c r="Q20">
        <v>10</v>
      </c>
      <c r="R20" s="4" t="s">
        <v>413</v>
      </c>
      <c r="S20" t="s">
        <v>323</v>
      </c>
    </row>
    <row r="21" spans="1:19" ht="15" customHeight="1" x14ac:dyDescent="0.25">
      <c r="A21" t="s">
        <v>71</v>
      </c>
      <c r="B21" t="s">
        <v>72</v>
      </c>
      <c r="C21" t="s">
        <v>77</v>
      </c>
      <c r="D21" t="s">
        <v>22</v>
      </c>
      <c r="E21" t="s">
        <v>23</v>
      </c>
      <c r="F21" t="str">
        <f t="shared" ref="F21" si="1">"/code/"&amp;"TS1-"&amp;D21</f>
        <v>/code/TS1-S1</v>
      </c>
      <c r="G21" t="s">
        <v>1036</v>
      </c>
      <c r="H21">
        <v>484.04559379800003</v>
      </c>
      <c r="I21" t="s">
        <v>303</v>
      </c>
      <c r="J21">
        <v>38.6122579809998</v>
      </c>
      <c r="K21">
        <v>2.5700000000000001E-4</v>
      </c>
      <c r="L21">
        <v>1.4999999999999999E-4</v>
      </c>
      <c r="M21">
        <v>20</v>
      </c>
      <c r="N21" t="s">
        <v>25</v>
      </c>
      <c r="O21" t="s">
        <v>25</v>
      </c>
      <c r="P21">
        <v>1.07E-4</v>
      </c>
      <c r="Q21">
        <v>10</v>
      </c>
      <c r="R21" s="4" t="s">
        <v>414</v>
      </c>
      <c r="S21" t="s">
        <v>324</v>
      </c>
    </row>
    <row r="22" spans="1:19" ht="15" customHeight="1" x14ac:dyDescent="0.25">
      <c r="A22" t="s">
        <v>71</v>
      </c>
      <c r="B22" t="s">
        <v>72</v>
      </c>
      <c r="C22" t="s">
        <v>77</v>
      </c>
      <c r="D22" t="s">
        <v>22</v>
      </c>
      <c r="E22" t="s">
        <v>23</v>
      </c>
      <c r="F22" t="str">
        <f t="shared" ref="F22" si="2">"/code/"&amp;"TS1-"&amp;D22</f>
        <v>/code/TS1-S1</v>
      </c>
      <c r="G22" t="s">
        <v>1036</v>
      </c>
      <c r="H22">
        <v>484.04559379800003</v>
      </c>
      <c r="I22" t="s">
        <v>304</v>
      </c>
      <c r="J22">
        <v>38.196623840998598</v>
      </c>
      <c r="K22">
        <v>2.5500000000000002E-4</v>
      </c>
      <c r="L22">
        <v>1.4899999999999999E-4</v>
      </c>
      <c r="M22">
        <v>20</v>
      </c>
      <c r="N22" t="s">
        <v>25</v>
      </c>
      <c r="O22" t="s">
        <v>25</v>
      </c>
      <c r="P22">
        <v>1.06E-4</v>
      </c>
      <c r="Q22">
        <v>10</v>
      </c>
      <c r="R22" s="4" t="s">
        <v>415</v>
      </c>
      <c r="S22" t="s">
        <v>325</v>
      </c>
    </row>
    <row r="23" spans="1:19" ht="15" customHeight="1" x14ac:dyDescent="0.25">
      <c r="A23" t="s">
        <v>71</v>
      </c>
      <c r="B23" t="s">
        <v>72</v>
      </c>
      <c r="C23" t="s">
        <v>77</v>
      </c>
      <c r="D23" t="s">
        <v>22</v>
      </c>
      <c r="E23" t="s">
        <v>23</v>
      </c>
      <c r="F23" t="str">
        <f t="shared" ref="F23:F35" si="3">"/code/"&amp;"TS1-"&amp;D23</f>
        <v>/code/TS1-S1</v>
      </c>
      <c r="G23" t="s">
        <v>1036</v>
      </c>
      <c r="H23">
        <v>484.04559379800003</v>
      </c>
      <c r="I23" t="s">
        <v>305</v>
      </c>
      <c r="J23">
        <v>38.389254058001796</v>
      </c>
      <c r="K23">
        <v>2.5599999999999999E-4</v>
      </c>
      <c r="L23">
        <v>1.4899999999999999E-4</v>
      </c>
      <c r="M23">
        <v>20</v>
      </c>
      <c r="N23" t="s">
        <v>25</v>
      </c>
      <c r="O23" t="s">
        <v>25</v>
      </c>
      <c r="P23">
        <v>1.07E-4</v>
      </c>
      <c r="Q23">
        <v>10</v>
      </c>
      <c r="R23" s="4" t="s">
        <v>416</v>
      </c>
      <c r="S23" t="s">
        <v>326</v>
      </c>
    </row>
    <row r="24" spans="1:19" ht="15" customHeight="1" x14ac:dyDescent="0.25">
      <c r="A24" t="s">
        <v>71</v>
      </c>
      <c r="B24" t="s">
        <v>72</v>
      </c>
      <c r="C24" t="s">
        <v>80</v>
      </c>
      <c r="D24" t="s">
        <v>22</v>
      </c>
      <c r="E24" t="s">
        <v>23</v>
      </c>
      <c r="F24" t="str">
        <f t="shared" si="3"/>
        <v>/code/TS1-S1</v>
      </c>
      <c r="G24" t="s">
        <v>1036</v>
      </c>
      <c r="H24">
        <v>7079.7220896150002</v>
      </c>
      <c r="I24" t="s">
        <v>303</v>
      </c>
      <c r="J24">
        <v>686.33282210199798</v>
      </c>
      <c r="K24">
        <v>4.5760000000000002E-3</v>
      </c>
      <c r="L24">
        <v>2.6689999999999999E-3</v>
      </c>
      <c r="M24">
        <v>20</v>
      </c>
      <c r="N24" t="s">
        <v>25</v>
      </c>
      <c r="O24" t="s">
        <v>25</v>
      </c>
      <c r="P24">
        <v>1.9059999999999999E-3</v>
      </c>
      <c r="Q24">
        <v>10</v>
      </c>
      <c r="R24" s="4" t="s">
        <v>417</v>
      </c>
      <c r="S24" t="s">
        <v>327</v>
      </c>
    </row>
    <row r="25" spans="1:19" ht="15" customHeight="1" x14ac:dyDescent="0.25">
      <c r="A25" t="s">
        <v>71</v>
      </c>
      <c r="B25" t="s">
        <v>72</v>
      </c>
      <c r="C25" t="s">
        <v>80</v>
      </c>
      <c r="D25" t="s">
        <v>22</v>
      </c>
      <c r="E25" t="s">
        <v>23</v>
      </c>
      <c r="F25" t="str">
        <f t="shared" ref="F25" si="4">"/code/"&amp;"TS1-"&amp;D25</f>
        <v>/code/TS1-S1</v>
      </c>
      <c r="G25" t="s">
        <v>1036</v>
      </c>
      <c r="H25">
        <v>7079.7220896150002</v>
      </c>
      <c r="I25" t="s">
        <v>304</v>
      </c>
      <c r="J25">
        <v>692.92100217700101</v>
      </c>
      <c r="K25">
        <v>4.62E-3</v>
      </c>
      <c r="L25">
        <v>2.6949999999999999E-3</v>
      </c>
      <c r="M25">
        <v>20</v>
      </c>
      <c r="N25" t="s">
        <v>25</v>
      </c>
      <c r="O25" t="s">
        <v>25</v>
      </c>
      <c r="P25">
        <v>1.9250000000000001E-3</v>
      </c>
      <c r="Q25">
        <v>10</v>
      </c>
      <c r="R25" s="4" t="s">
        <v>418</v>
      </c>
      <c r="S25" t="s">
        <v>328</v>
      </c>
    </row>
    <row r="26" spans="1:19" ht="15" customHeight="1" x14ac:dyDescent="0.25">
      <c r="A26" t="s">
        <v>71</v>
      </c>
      <c r="B26" t="s">
        <v>72</v>
      </c>
      <c r="C26" t="s">
        <v>80</v>
      </c>
      <c r="D26" t="s">
        <v>22</v>
      </c>
      <c r="E26" t="s">
        <v>23</v>
      </c>
      <c r="F26" t="str">
        <f t="shared" si="3"/>
        <v>/code/TS1-S1</v>
      </c>
      <c r="G26" t="s">
        <v>1036</v>
      </c>
      <c r="H26">
        <v>7079.7220896150002</v>
      </c>
      <c r="I26" t="s">
        <v>305</v>
      </c>
      <c r="J26">
        <v>712.68512062800005</v>
      </c>
      <c r="K26">
        <v>4.751E-3</v>
      </c>
      <c r="L26">
        <v>2.7720000000000002E-3</v>
      </c>
      <c r="M26">
        <v>20</v>
      </c>
      <c r="N26" t="s">
        <v>25</v>
      </c>
      <c r="O26" t="s">
        <v>25</v>
      </c>
      <c r="P26">
        <v>1.98E-3</v>
      </c>
      <c r="Q26">
        <v>10</v>
      </c>
      <c r="R26" s="4" t="s">
        <v>419</v>
      </c>
      <c r="S26" t="s">
        <v>329</v>
      </c>
    </row>
    <row r="27" spans="1:19" ht="15" customHeight="1" x14ac:dyDescent="0.25">
      <c r="A27" t="s">
        <v>71</v>
      </c>
      <c r="B27" t="s">
        <v>72</v>
      </c>
      <c r="C27" t="s">
        <v>83</v>
      </c>
      <c r="D27" t="s">
        <v>22</v>
      </c>
      <c r="E27" t="s">
        <v>23</v>
      </c>
      <c r="F27" t="str">
        <f t="shared" si="3"/>
        <v>/code/TS1-S1</v>
      </c>
      <c r="G27" t="s">
        <v>1036</v>
      </c>
      <c r="H27">
        <v>14929.561005467</v>
      </c>
      <c r="I27" t="s">
        <v>303</v>
      </c>
      <c r="J27">
        <v>1388.6962536389999</v>
      </c>
      <c r="K27">
        <v>9.2569999999999996E-3</v>
      </c>
      <c r="L27">
        <v>5.4000000000000003E-3</v>
      </c>
      <c r="M27">
        <v>20</v>
      </c>
      <c r="N27" t="s">
        <v>25</v>
      </c>
      <c r="O27" t="s">
        <v>25</v>
      </c>
      <c r="P27">
        <v>3.8570000000000002E-3</v>
      </c>
      <c r="Q27">
        <v>10</v>
      </c>
      <c r="R27" s="4" t="s">
        <v>420</v>
      </c>
      <c r="S27" t="s">
        <v>330</v>
      </c>
    </row>
    <row r="28" spans="1:19" ht="15" customHeight="1" x14ac:dyDescent="0.25">
      <c r="A28" t="s">
        <v>71</v>
      </c>
      <c r="B28" t="s">
        <v>72</v>
      </c>
      <c r="C28" t="s">
        <v>83</v>
      </c>
      <c r="D28" t="s">
        <v>22</v>
      </c>
      <c r="E28" t="s">
        <v>23</v>
      </c>
      <c r="F28" t="str">
        <f t="shared" ref="F28" si="5">"/code/"&amp;"TS1-"&amp;D28</f>
        <v>/code/TS1-S1</v>
      </c>
      <c r="G28" t="s">
        <v>1036</v>
      </c>
      <c r="H28">
        <v>14929.561005467</v>
      </c>
      <c r="I28" t="s">
        <v>304</v>
      </c>
      <c r="J28">
        <v>1339.4813921959901</v>
      </c>
      <c r="K28">
        <v>8.9289999999999994E-3</v>
      </c>
      <c r="L28">
        <v>5.2090000000000001E-3</v>
      </c>
      <c r="M28">
        <v>20</v>
      </c>
      <c r="N28" t="s">
        <v>25</v>
      </c>
      <c r="O28" t="s">
        <v>25</v>
      </c>
      <c r="P28">
        <v>3.7200000000000002E-3</v>
      </c>
      <c r="Q28">
        <v>10</v>
      </c>
      <c r="R28" s="4" t="s">
        <v>421</v>
      </c>
      <c r="S28" t="s">
        <v>331</v>
      </c>
    </row>
    <row r="29" spans="1:19" ht="15" customHeight="1" x14ac:dyDescent="0.25">
      <c r="A29" t="s">
        <v>71</v>
      </c>
      <c r="B29" t="s">
        <v>72</v>
      </c>
      <c r="C29" t="s">
        <v>83</v>
      </c>
      <c r="D29" t="s">
        <v>22</v>
      </c>
      <c r="E29" t="s">
        <v>23</v>
      </c>
      <c r="F29" t="str">
        <f t="shared" si="3"/>
        <v>/code/TS1-S1</v>
      </c>
      <c r="G29" t="s">
        <v>1036</v>
      </c>
      <c r="H29">
        <v>14929.561005467</v>
      </c>
      <c r="I29" t="s">
        <v>305</v>
      </c>
      <c r="J29">
        <v>1360.60046867399</v>
      </c>
      <c r="K29">
        <v>9.0699999999999999E-3</v>
      </c>
      <c r="L29">
        <v>5.2909999999999997E-3</v>
      </c>
      <c r="M29">
        <v>20</v>
      </c>
      <c r="N29" t="s">
        <v>25</v>
      </c>
      <c r="O29" t="s">
        <v>25</v>
      </c>
      <c r="P29">
        <v>3.7789999999999998E-3</v>
      </c>
      <c r="Q29">
        <v>10</v>
      </c>
      <c r="R29" s="4" t="s">
        <v>422</v>
      </c>
      <c r="S29" t="s">
        <v>332</v>
      </c>
    </row>
    <row r="30" spans="1:19" ht="15" customHeight="1" x14ac:dyDescent="0.25">
      <c r="A30" t="s">
        <v>71</v>
      </c>
      <c r="B30" t="s">
        <v>72</v>
      </c>
      <c r="C30" t="s">
        <v>86</v>
      </c>
      <c r="D30" t="s">
        <v>22</v>
      </c>
      <c r="E30" t="s">
        <v>23</v>
      </c>
      <c r="F30" t="str">
        <f t="shared" si="3"/>
        <v>/code/TS1-S1</v>
      </c>
      <c r="G30" t="s">
        <v>1036</v>
      </c>
      <c r="H30">
        <v>7131.1244575170003</v>
      </c>
      <c r="I30" t="s">
        <v>303</v>
      </c>
      <c r="J30">
        <v>699.08315684299998</v>
      </c>
      <c r="K30">
        <v>4.6610000000000002E-3</v>
      </c>
      <c r="L30">
        <v>2.7190000000000001E-3</v>
      </c>
      <c r="M30">
        <v>20</v>
      </c>
      <c r="N30" t="s">
        <v>25</v>
      </c>
      <c r="O30" t="s">
        <v>25</v>
      </c>
      <c r="P30">
        <v>1.9419999999999999E-3</v>
      </c>
      <c r="Q30">
        <v>10</v>
      </c>
      <c r="R30" s="4" t="s">
        <v>423</v>
      </c>
      <c r="S30" t="s">
        <v>333</v>
      </c>
    </row>
    <row r="31" spans="1:19" ht="15" customHeight="1" x14ac:dyDescent="0.25">
      <c r="A31" t="s">
        <v>71</v>
      </c>
      <c r="B31" t="s">
        <v>72</v>
      </c>
      <c r="C31" t="s">
        <v>86</v>
      </c>
      <c r="D31" t="s">
        <v>22</v>
      </c>
      <c r="E31" t="s">
        <v>23</v>
      </c>
      <c r="F31" t="str">
        <f t="shared" ref="F31" si="6">"/code/"&amp;"TS1-"&amp;D31</f>
        <v>/code/TS1-S1</v>
      </c>
      <c r="G31" t="s">
        <v>1036</v>
      </c>
      <c r="H31">
        <v>7131.1244575170003</v>
      </c>
      <c r="I31" t="s">
        <v>304</v>
      </c>
      <c r="J31">
        <v>722.761431958</v>
      </c>
      <c r="K31">
        <v>4.8170000000000001E-3</v>
      </c>
      <c r="L31">
        <v>2.8110000000000001E-3</v>
      </c>
      <c r="M31">
        <v>20</v>
      </c>
      <c r="N31" t="s">
        <v>25</v>
      </c>
      <c r="O31" t="s">
        <v>25</v>
      </c>
      <c r="P31">
        <v>2.006E-3</v>
      </c>
      <c r="Q31">
        <v>10</v>
      </c>
      <c r="R31" s="4" t="s">
        <v>424</v>
      </c>
      <c r="S31" t="s">
        <v>334</v>
      </c>
    </row>
    <row r="32" spans="1:19" ht="15" customHeight="1" x14ac:dyDescent="0.25">
      <c r="A32" t="s">
        <v>71</v>
      </c>
      <c r="B32" t="s">
        <v>72</v>
      </c>
      <c r="C32" t="s">
        <v>86</v>
      </c>
      <c r="D32" t="s">
        <v>22</v>
      </c>
      <c r="E32" t="s">
        <v>23</v>
      </c>
      <c r="F32" t="str">
        <f t="shared" si="3"/>
        <v>/code/TS1-S1</v>
      </c>
      <c r="G32" t="s">
        <v>1036</v>
      </c>
      <c r="H32">
        <v>7131.1244575170003</v>
      </c>
      <c r="I32" t="s">
        <v>305</v>
      </c>
      <c r="J32">
        <v>711.50723908700002</v>
      </c>
      <c r="K32">
        <v>4.7429999999999998E-3</v>
      </c>
      <c r="L32">
        <v>2.7669999999999999E-3</v>
      </c>
      <c r="M32">
        <v>20</v>
      </c>
      <c r="N32" t="s">
        <v>25</v>
      </c>
      <c r="O32" t="s">
        <v>25</v>
      </c>
      <c r="P32">
        <v>1.9759999999999999E-3</v>
      </c>
      <c r="Q32">
        <v>10</v>
      </c>
      <c r="R32" s="4" t="s">
        <v>425</v>
      </c>
      <c r="S32" t="s">
        <v>335</v>
      </c>
    </row>
    <row r="33" spans="1:19" ht="15" customHeight="1" x14ac:dyDescent="0.25">
      <c r="A33" t="s">
        <v>71</v>
      </c>
      <c r="B33" t="s">
        <v>72</v>
      </c>
      <c r="C33" t="s">
        <v>89</v>
      </c>
      <c r="D33" t="s">
        <v>22</v>
      </c>
      <c r="E33" t="s">
        <v>23</v>
      </c>
      <c r="F33" t="str">
        <f t="shared" si="3"/>
        <v>/code/TS1-S1</v>
      </c>
      <c r="G33" t="s">
        <v>1036</v>
      </c>
      <c r="H33">
        <v>6648.1765063450002</v>
      </c>
      <c r="I33" t="s">
        <v>303</v>
      </c>
      <c r="J33">
        <v>636.54525696500002</v>
      </c>
      <c r="K33">
        <v>4.2440000000000004E-3</v>
      </c>
      <c r="L33">
        <v>2.4759999999999999E-3</v>
      </c>
      <c r="M33">
        <v>20</v>
      </c>
      <c r="N33" t="s">
        <v>25</v>
      </c>
      <c r="O33" t="s">
        <v>25</v>
      </c>
      <c r="P33">
        <v>1.768E-3</v>
      </c>
      <c r="Q33">
        <v>10</v>
      </c>
      <c r="R33" s="4" t="s">
        <v>426</v>
      </c>
      <c r="S33" t="s">
        <v>336</v>
      </c>
    </row>
    <row r="34" spans="1:19" ht="15" customHeight="1" x14ac:dyDescent="0.25">
      <c r="A34" t="s">
        <v>71</v>
      </c>
      <c r="B34" t="s">
        <v>72</v>
      </c>
      <c r="C34" t="s">
        <v>89</v>
      </c>
      <c r="D34" t="s">
        <v>22</v>
      </c>
      <c r="E34" t="s">
        <v>23</v>
      </c>
      <c r="F34" t="str">
        <f t="shared" ref="F34" si="7">"/code/"&amp;"TS1-"&amp;D34</f>
        <v>/code/TS1-S1</v>
      </c>
      <c r="G34" t="s">
        <v>1036</v>
      </c>
      <c r="H34">
        <v>6648.1765063450002</v>
      </c>
      <c r="I34" t="s">
        <v>304</v>
      </c>
      <c r="J34">
        <v>654.03419000699898</v>
      </c>
      <c r="K34">
        <v>4.3600000000000002E-3</v>
      </c>
      <c r="L34">
        <v>2.5439999999999998E-3</v>
      </c>
      <c r="M34">
        <v>20</v>
      </c>
      <c r="N34" t="s">
        <v>25</v>
      </c>
      <c r="O34" t="s">
        <v>25</v>
      </c>
      <c r="P34">
        <v>1.817E-3</v>
      </c>
      <c r="Q34">
        <v>10</v>
      </c>
      <c r="R34" s="4" t="s">
        <v>427</v>
      </c>
      <c r="S34" t="s">
        <v>337</v>
      </c>
    </row>
    <row r="35" spans="1:19" ht="15" customHeight="1" x14ac:dyDescent="0.25">
      <c r="A35" t="s">
        <v>71</v>
      </c>
      <c r="B35" t="s">
        <v>72</v>
      </c>
      <c r="C35" t="s">
        <v>89</v>
      </c>
      <c r="D35" t="s">
        <v>22</v>
      </c>
      <c r="E35" t="s">
        <v>23</v>
      </c>
      <c r="F35" t="str">
        <f t="shared" si="3"/>
        <v>/code/TS1-S1</v>
      </c>
      <c r="G35" t="s">
        <v>1036</v>
      </c>
      <c r="H35">
        <v>6648.1765063450002</v>
      </c>
      <c r="I35" t="s">
        <v>305</v>
      </c>
      <c r="J35">
        <v>649.011465581999</v>
      </c>
      <c r="K35">
        <v>4.3270000000000001E-3</v>
      </c>
      <c r="L35">
        <v>2.5240000000000002E-3</v>
      </c>
      <c r="M35">
        <v>20</v>
      </c>
      <c r="N35" t="s">
        <v>25</v>
      </c>
      <c r="O35" t="s">
        <v>25</v>
      </c>
      <c r="P35">
        <v>1.8029999999999999E-3</v>
      </c>
      <c r="Q35">
        <v>10</v>
      </c>
      <c r="R35" s="4" t="s">
        <v>428</v>
      </c>
      <c r="S35" t="s">
        <v>338</v>
      </c>
    </row>
    <row r="38" spans="1:19" ht="15" customHeight="1" x14ac:dyDescent="0.25">
      <c r="A38" t="s">
        <v>126</v>
      </c>
      <c r="B38" t="s">
        <v>127</v>
      </c>
      <c r="C38" t="s">
        <v>73</v>
      </c>
      <c r="D38" t="s">
        <v>22</v>
      </c>
      <c r="E38" t="s">
        <v>23</v>
      </c>
      <c r="F38" t="str">
        <f>"/code/TS2-"&amp;D38&amp;"/lex"</f>
        <v>/code/TS2-S1/lex</v>
      </c>
      <c r="G38" t="s">
        <v>1037</v>
      </c>
      <c r="H38">
        <v>91.010171515997996</v>
      </c>
      <c r="I38" t="s">
        <v>303</v>
      </c>
      <c r="J38">
        <v>10.753523695002499</v>
      </c>
      <c r="K38">
        <v>6.0999999999999999E-5</v>
      </c>
      <c r="L38">
        <v>3.6000000000000001E-5</v>
      </c>
      <c r="M38">
        <v>20</v>
      </c>
      <c r="N38" t="s">
        <v>25</v>
      </c>
      <c r="O38" t="s">
        <v>25</v>
      </c>
      <c r="P38">
        <v>2.5999999999999998E-5</v>
      </c>
      <c r="Q38">
        <v>10</v>
      </c>
      <c r="R38" s="4" t="s">
        <v>429</v>
      </c>
      <c r="S38" t="s">
        <v>339</v>
      </c>
    </row>
    <row r="39" spans="1:19" ht="15" customHeight="1" x14ac:dyDescent="0.25">
      <c r="A39" t="s">
        <v>126</v>
      </c>
      <c r="B39" t="s">
        <v>127</v>
      </c>
      <c r="C39" t="s">
        <v>73</v>
      </c>
      <c r="D39" t="s">
        <v>22</v>
      </c>
      <c r="E39" t="s">
        <v>23</v>
      </c>
      <c r="F39" t="str">
        <f>"/code/TS2-"&amp;D39&amp;"/lex"</f>
        <v>/code/TS2-S1/lex</v>
      </c>
      <c r="G39" t="s">
        <v>1037</v>
      </c>
      <c r="H39">
        <v>91.010171515997996</v>
      </c>
      <c r="I39" t="s">
        <v>304</v>
      </c>
      <c r="J39">
        <v>9.4424252200005796</v>
      </c>
      <c r="K39">
        <v>5.3000000000000001E-5</v>
      </c>
      <c r="L39">
        <v>3.1000000000000001E-5</v>
      </c>
      <c r="M39">
        <v>20</v>
      </c>
      <c r="N39" t="s">
        <v>25</v>
      </c>
      <c r="O39" t="s">
        <v>25</v>
      </c>
      <c r="P39">
        <v>2.1999999999999999E-5</v>
      </c>
      <c r="Q39">
        <v>10</v>
      </c>
      <c r="R39" s="4" t="s">
        <v>430</v>
      </c>
      <c r="S39" t="s">
        <v>340</v>
      </c>
    </row>
    <row r="40" spans="1:19" ht="15" customHeight="1" x14ac:dyDescent="0.25">
      <c r="A40" t="s">
        <v>126</v>
      </c>
      <c r="B40" t="s">
        <v>127</v>
      </c>
      <c r="C40" t="s">
        <v>73</v>
      </c>
      <c r="D40" t="s">
        <v>22</v>
      </c>
      <c r="E40" t="s">
        <v>23</v>
      </c>
      <c r="F40" t="str">
        <f>"/code/TS2-"&amp;D40&amp;"/lex"</f>
        <v>/code/TS2-S1/lex</v>
      </c>
      <c r="G40" t="s">
        <v>1037</v>
      </c>
      <c r="H40">
        <v>91.010171515997996</v>
      </c>
      <c r="I40" t="s">
        <v>305</v>
      </c>
      <c r="J40">
        <v>9.4305748900005693</v>
      </c>
      <c r="K40">
        <v>5.3000000000000001E-5</v>
      </c>
      <c r="L40">
        <v>3.1000000000000001E-5</v>
      </c>
      <c r="M40">
        <v>20</v>
      </c>
      <c r="N40" t="s">
        <v>25</v>
      </c>
      <c r="O40" t="s">
        <v>25</v>
      </c>
      <c r="P40">
        <v>2.1999999999999999E-5</v>
      </c>
      <c r="Q40">
        <v>10</v>
      </c>
      <c r="R40" s="4" t="s">
        <v>431</v>
      </c>
      <c r="S40" t="s">
        <v>341</v>
      </c>
    </row>
    <row r="41" spans="1:19" ht="15" customHeight="1" x14ac:dyDescent="0.25">
      <c r="A41" t="s">
        <v>126</v>
      </c>
      <c r="B41" t="s">
        <v>127</v>
      </c>
      <c r="C41" t="s">
        <v>131</v>
      </c>
      <c r="D41" t="s">
        <v>22</v>
      </c>
      <c r="E41" t="s">
        <v>23</v>
      </c>
      <c r="F41" t="str">
        <f>"/code/TS2-"&amp;D41&amp;"/bert2bert"</f>
        <v>/code/TS2-S1/bert2bert</v>
      </c>
      <c r="G41" t="s">
        <v>1037</v>
      </c>
      <c r="H41">
        <v>3048.9736754629998</v>
      </c>
      <c r="I41" t="s">
        <v>303</v>
      </c>
      <c r="J41">
        <v>271.23950100000002</v>
      </c>
      <c r="K41">
        <v>1.7979999999999999E-3</v>
      </c>
      <c r="L41">
        <v>1.049E-3</v>
      </c>
      <c r="M41">
        <v>20</v>
      </c>
      <c r="N41" t="s">
        <v>25</v>
      </c>
      <c r="O41" t="s">
        <v>25</v>
      </c>
      <c r="P41">
        <v>7.4899999999999999E-4</v>
      </c>
      <c r="Q41">
        <v>10</v>
      </c>
      <c r="R41" s="4" t="s">
        <v>432</v>
      </c>
      <c r="S41" t="s">
        <v>342</v>
      </c>
    </row>
    <row r="42" spans="1:19" ht="15" customHeight="1" x14ac:dyDescent="0.25">
      <c r="A42" t="s">
        <v>126</v>
      </c>
      <c r="B42" t="s">
        <v>127</v>
      </c>
      <c r="C42" t="s">
        <v>131</v>
      </c>
      <c r="D42" t="s">
        <v>22</v>
      </c>
      <c r="E42" t="s">
        <v>23</v>
      </c>
      <c r="F42" t="str">
        <f>"/code/TS2-"&amp;D42&amp;"/bert2bert"</f>
        <v>/code/TS2-S1/bert2bert</v>
      </c>
      <c r="G42" t="s">
        <v>1037</v>
      </c>
      <c r="H42">
        <v>3048.9736754629998</v>
      </c>
      <c r="I42" t="s">
        <v>304</v>
      </c>
      <c r="J42">
        <v>295.35051477200199</v>
      </c>
      <c r="K42">
        <v>1.9589999999999998E-3</v>
      </c>
      <c r="L42">
        <v>1.1429999999999999E-3</v>
      </c>
      <c r="M42">
        <v>20</v>
      </c>
      <c r="N42" t="s">
        <v>25</v>
      </c>
      <c r="O42" t="s">
        <v>25</v>
      </c>
      <c r="P42">
        <v>8.1599999999999999E-4</v>
      </c>
      <c r="Q42">
        <v>10</v>
      </c>
      <c r="R42" s="4" t="s">
        <v>433</v>
      </c>
      <c r="S42" t="s">
        <v>343</v>
      </c>
    </row>
    <row r="43" spans="1:19" ht="15" customHeight="1" x14ac:dyDescent="0.25">
      <c r="A43" t="s">
        <v>126</v>
      </c>
      <c r="B43" t="s">
        <v>127</v>
      </c>
      <c r="C43" t="s">
        <v>131</v>
      </c>
      <c r="D43" t="s">
        <v>22</v>
      </c>
      <c r="E43" t="s">
        <v>23</v>
      </c>
      <c r="F43" t="str">
        <f>"/code/TS2-"&amp;D43&amp;"/bert2bert"</f>
        <v>/code/TS2-S1/bert2bert</v>
      </c>
      <c r="G43" t="s">
        <v>1037</v>
      </c>
      <c r="H43">
        <v>3048.9736754629998</v>
      </c>
      <c r="I43" t="s">
        <v>305</v>
      </c>
      <c r="J43">
        <v>303.16598290399997</v>
      </c>
      <c r="K43">
        <v>2.0110000000000002E-3</v>
      </c>
      <c r="L43">
        <v>1.173E-3</v>
      </c>
      <c r="M43">
        <v>20</v>
      </c>
      <c r="N43" t="s">
        <v>25</v>
      </c>
      <c r="O43" t="s">
        <v>25</v>
      </c>
      <c r="P43">
        <v>8.3799999999999999E-4</v>
      </c>
      <c r="Q43">
        <v>10</v>
      </c>
      <c r="R43" s="4" t="s">
        <v>434</v>
      </c>
      <c r="S43" t="s">
        <v>344</v>
      </c>
    </row>
    <row r="44" spans="1:19" ht="15" customHeight="1" x14ac:dyDescent="0.25">
      <c r="A44" t="s">
        <v>126</v>
      </c>
      <c r="B44" t="s">
        <v>127</v>
      </c>
      <c r="C44" t="s">
        <v>134</v>
      </c>
      <c r="D44" t="s">
        <v>22</v>
      </c>
      <c r="E44" t="s">
        <v>23</v>
      </c>
      <c r="F44" t="str">
        <f>"/code/TS2-"&amp;D44&amp;"/mlong"</f>
        <v>/code/TS2-S1/mlong</v>
      </c>
      <c r="G44" t="s">
        <v>1037</v>
      </c>
      <c r="H44">
        <v>57275.8886862379</v>
      </c>
      <c r="I44" t="s">
        <v>303</v>
      </c>
      <c r="J44">
        <v>4960.5614202719898</v>
      </c>
      <c r="K44">
        <v>3.3058999999999998E-2</v>
      </c>
      <c r="L44">
        <v>1.9285E-2</v>
      </c>
      <c r="M44">
        <v>20</v>
      </c>
      <c r="N44" t="s">
        <v>25</v>
      </c>
      <c r="O44" t="s">
        <v>25</v>
      </c>
      <c r="P44">
        <v>1.3774E-2</v>
      </c>
      <c r="Q44">
        <v>10</v>
      </c>
      <c r="R44" s="4" t="s">
        <v>435</v>
      </c>
      <c r="S44" t="s">
        <v>345</v>
      </c>
    </row>
    <row r="45" spans="1:19" ht="15" customHeight="1" x14ac:dyDescent="0.25">
      <c r="A45" t="s">
        <v>126</v>
      </c>
      <c r="B45" t="s">
        <v>127</v>
      </c>
      <c r="C45" t="s">
        <v>134</v>
      </c>
      <c r="D45" t="s">
        <v>22</v>
      </c>
      <c r="E45" t="s">
        <v>23</v>
      </c>
      <c r="F45" t="str">
        <f>"/code/TS2-"&amp;D45&amp;"/mlong"</f>
        <v>/code/TS2-S1/mlong</v>
      </c>
      <c r="G45" t="s">
        <v>1037</v>
      </c>
      <c r="H45">
        <v>57275.8886862379</v>
      </c>
      <c r="I45" t="s">
        <v>304</v>
      </c>
      <c r="J45">
        <v>4882.4691717839996</v>
      </c>
      <c r="K45">
        <v>3.2537000000000003E-2</v>
      </c>
      <c r="L45">
        <v>1.898E-2</v>
      </c>
      <c r="M45">
        <v>20</v>
      </c>
      <c r="N45" t="s">
        <v>25</v>
      </c>
      <c r="O45" t="s">
        <v>25</v>
      </c>
      <c r="P45">
        <v>1.3557E-2</v>
      </c>
      <c r="Q45">
        <v>10</v>
      </c>
      <c r="R45" s="4" t="s">
        <v>436</v>
      </c>
      <c r="S45" t="s">
        <v>346</v>
      </c>
    </row>
    <row r="46" spans="1:19" ht="15" customHeight="1" x14ac:dyDescent="0.25">
      <c r="A46" t="s">
        <v>126</v>
      </c>
      <c r="B46" t="s">
        <v>127</v>
      </c>
      <c r="C46" t="s">
        <v>134</v>
      </c>
      <c r="D46" t="s">
        <v>22</v>
      </c>
      <c r="E46" t="s">
        <v>23</v>
      </c>
      <c r="F46" t="str">
        <f>"/code/TS2-"&amp;D46&amp;"/mlong"</f>
        <v>/code/TS2-S1/mlong</v>
      </c>
      <c r="G46" t="s">
        <v>1037</v>
      </c>
      <c r="H46">
        <v>57275.8886862379</v>
      </c>
      <c r="I46" t="s">
        <v>305</v>
      </c>
      <c r="J46">
        <v>4853.6905026619997</v>
      </c>
      <c r="K46">
        <v>3.2342999999999997E-2</v>
      </c>
      <c r="L46">
        <v>1.8866999999999998E-2</v>
      </c>
      <c r="M46">
        <v>20</v>
      </c>
      <c r="N46" t="s">
        <v>25</v>
      </c>
      <c r="O46" t="s">
        <v>25</v>
      </c>
      <c r="P46">
        <v>1.3476E-2</v>
      </c>
      <c r="Q46">
        <v>10</v>
      </c>
      <c r="R46" s="4" t="s">
        <v>437</v>
      </c>
      <c r="S46" t="s">
        <v>347</v>
      </c>
    </row>
    <row r="47" spans="1:19" ht="15" customHeight="1" x14ac:dyDescent="0.25">
      <c r="A47" t="s">
        <v>126</v>
      </c>
      <c r="B47" t="s">
        <v>127</v>
      </c>
      <c r="C47" t="s">
        <v>137</v>
      </c>
      <c r="D47" t="s">
        <v>22</v>
      </c>
      <c r="E47" t="s">
        <v>23</v>
      </c>
      <c r="F47" t="str">
        <f>"/code/TS2-"&amp;D47&amp;"/mixtral"</f>
        <v>/code/TS2-S1/mixtral</v>
      </c>
      <c r="G47" t="s">
        <v>1037</v>
      </c>
      <c r="H47">
        <v>252902.22868269999</v>
      </c>
      <c r="I47" t="s">
        <v>303</v>
      </c>
      <c r="J47">
        <v>20932.163979000001</v>
      </c>
      <c r="K47">
        <v>0.76740200000000003</v>
      </c>
      <c r="L47">
        <v>0.65113299999999996</v>
      </c>
      <c r="M47">
        <v>112</v>
      </c>
      <c r="N47" t="s">
        <v>25</v>
      </c>
      <c r="O47" t="s">
        <v>25</v>
      </c>
      <c r="P47">
        <v>0.11627</v>
      </c>
      <c r="Q47">
        <v>20</v>
      </c>
      <c r="R47" s="4" t="s">
        <v>438</v>
      </c>
      <c r="S47" t="s">
        <v>348</v>
      </c>
    </row>
    <row r="48" spans="1:19" ht="15" customHeight="1" x14ac:dyDescent="0.25">
      <c r="A48" t="s">
        <v>126</v>
      </c>
      <c r="B48" t="s">
        <v>127</v>
      </c>
      <c r="C48" t="s">
        <v>137</v>
      </c>
      <c r="D48" t="s">
        <v>22</v>
      </c>
      <c r="E48" t="s">
        <v>23</v>
      </c>
      <c r="F48" t="str">
        <f>"/code/TS2-"&amp;D48&amp;"/mixtral"</f>
        <v>/code/TS2-S1/mixtral</v>
      </c>
      <c r="G48" t="s">
        <v>1037</v>
      </c>
      <c r="H48">
        <v>252902.22868269999</v>
      </c>
      <c r="I48" t="s">
        <v>304</v>
      </c>
      <c r="J48">
        <v>21160.0012833</v>
      </c>
      <c r="K48">
        <v>0.77575499999999997</v>
      </c>
      <c r="L48">
        <v>0.65822000000000003</v>
      </c>
      <c r="M48">
        <v>112</v>
      </c>
      <c r="N48" t="s">
        <v>25</v>
      </c>
      <c r="O48" t="s">
        <v>25</v>
      </c>
      <c r="P48">
        <v>0.117535</v>
      </c>
      <c r="Q48">
        <v>20</v>
      </c>
      <c r="R48" s="4" t="s">
        <v>439</v>
      </c>
      <c r="S48" t="s">
        <v>349</v>
      </c>
    </row>
    <row r="49" spans="1:19" ht="15" customHeight="1" x14ac:dyDescent="0.25">
      <c r="A49" t="s">
        <v>126</v>
      </c>
      <c r="B49" t="s">
        <v>127</v>
      </c>
      <c r="C49" t="s">
        <v>137</v>
      </c>
      <c r="D49" t="s">
        <v>22</v>
      </c>
      <c r="E49" t="s">
        <v>23</v>
      </c>
      <c r="F49" t="str">
        <f>"/code/TS2-"&amp;D49&amp;"/mixtral"</f>
        <v>/code/TS2-S1/mixtral</v>
      </c>
      <c r="G49" t="s">
        <v>1037</v>
      </c>
      <c r="H49">
        <v>252902.22868269999</v>
      </c>
      <c r="I49" t="s">
        <v>305</v>
      </c>
      <c r="J49">
        <v>20819.228525999901</v>
      </c>
      <c r="K49">
        <v>0.76326300000000002</v>
      </c>
      <c r="L49">
        <v>0.647621</v>
      </c>
      <c r="M49">
        <v>112</v>
      </c>
      <c r="N49" t="s">
        <v>25</v>
      </c>
      <c r="O49" t="s">
        <v>25</v>
      </c>
      <c r="P49">
        <v>0.11564199999999999</v>
      </c>
      <c r="Q49">
        <v>20</v>
      </c>
      <c r="R49" s="4" t="s">
        <v>440</v>
      </c>
      <c r="S49" t="s">
        <v>350</v>
      </c>
    </row>
    <row r="52" spans="1:19" ht="15" customHeight="1" x14ac:dyDescent="0.25">
      <c r="A52" t="s">
        <v>164</v>
      </c>
      <c r="B52" t="s">
        <v>165</v>
      </c>
      <c r="C52" t="s">
        <v>73</v>
      </c>
      <c r="D52" t="s">
        <v>22</v>
      </c>
      <c r="E52" t="s">
        <v>23</v>
      </c>
      <c r="F52" t="str">
        <f>"/code/TS3-"&amp;D52&amp;"/lexrank"</f>
        <v>/code/TS3-S1/lexrank</v>
      </c>
      <c r="G52" t="s">
        <v>166</v>
      </c>
      <c r="H52">
        <v>1.77926535500046</v>
      </c>
      <c r="I52" t="s">
        <v>303</v>
      </c>
      <c r="J52">
        <v>2.4761256700003198</v>
      </c>
      <c r="K52">
        <v>1.9999999999999999E-6</v>
      </c>
      <c r="L52">
        <v>9.9999999999999995E-7</v>
      </c>
      <c r="M52">
        <v>20</v>
      </c>
      <c r="N52" t="s">
        <v>25</v>
      </c>
      <c r="O52" t="s">
        <v>25</v>
      </c>
      <c r="P52">
        <v>9.9999999999999995E-7</v>
      </c>
      <c r="Q52">
        <v>10</v>
      </c>
      <c r="R52" s="4" t="s">
        <v>441</v>
      </c>
      <c r="S52" t="s">
        <v>381</v>
      </c>
    </row>
    <row r="53" spans="1:19" ht="15" customHeight="1" x14ac:dyDescent="0.25">
      <c r="A53" t="s">
        <v>164</v>
      </c>
      <c r="B53" t="s">
        <v>165</v>
      </c>
      <c r="C53" t="s">
        <v>73</v>
      </c>
      <c r="D53" t="s">
        <v>22</v>
      </c>
      <c r="E53" t="s">
        <v>23</v>
      </c>
      <c r="F53" t="str">
        <f>"/code/TS3-"&amp;D53&amp;"/lexrank"</f>
        <v>/code/TS3-S1/lexrank</v>
      </c>
      <c r="G53" t="s">
        <v>166</v>
      </c>
      <c r="H53">
        <v>1.77926535500046</v>
      </c>
      <c r="I53" t="s">
        <v>304</v>
      </c>
      <c r="J53">
        <v>2.7787174629920601</v>
      </c>
      <c r="K53">
        <v>1.9999999999999999E-6</v>
      </c>
      <c r="L53">
        <v>9.9999999999999995E-7</v>
      </c>
      <c r="M53">
        <v>20</v>
      </c>
      <c r="N53" t="s">
        <v>25</v>
      </c>
      <c r="O53" t="s">
        <v>25</v>
      </c>
      <c r="P53">
        <v>9.9999999999999995E-7</v>
      </c>
      <c r="Q53">
        <v>10</v>
      </c>
      <c r="R53" s="4" t="s">
        <v>442</v>
      </c>
      <c r="S53" t="s">
        <v>382</v>
      </c>
    </row>
    <row r="54" spans="1:19" ht="15" customHeight="1" x14ac:dyDescent="0.25">
      <c r="A54" t="s">
        <v>164</v>
      </c>
      <c r="B54" t="s">
        <v>165</v>
      </c>
      <c r="C54" t="s">
        <v>73</v>
      </c>
      <c r="D54" t="s">
        <v>22</v>
      </c>
      <c r="E54" t="s">
        <v>23</v>
      </c>
      <c r="F54" t="str">
        <f>"/code/TS3-"&amp;D54&amp;"/lexrank"</f>
        <v>/code/TS3-S1/lexrank</v>
      </c>
      <c r="G54" t="s">
        <v>166</v>
      </c>
      <c r="H54">
        <v>1.77926535500046</v>
      </c>
      <c r="I54" t="s">
        <v>305</v>
      </c>
      <c r="J54">
        <v>2.3567802070028798</v>
      </c>
      <c r="K54">
        <v>1.9999999999999999E-6</v>
      </c>
      <c r="L54">
        <v>9.9999999999999995E-7</v>
      </c>
      <c r="M54">
        <v>20</v>
      </c>
      <c r="N54" t="s">
        <v>25</v>
      </c>
      <c r="O54" t="s">
        <v>25</v>
      </c>
      <c r="P54">
        <v>9.9999999999999995E-7</v>
      </c>
      <c r="Q54">
        <v>10</v>
      </c>
      <c r="R54" s="4" t="s">
        <v>443</v>
      </c>
      <c r="S54" t="s">
        <v>383</v>
      </c>
    </row>
    <row r="55" spans="1:19" ht="15" customHeight="1" x14ac:dyDescent="0.25">
      <c r="A55" t="s">
        <v>164</v>
      </c>
      <c r="B55" t="s">
        <v>165</v>
      </c>
      <c r="C55" t="s">
        <v>73</v>
      </c>
      <c r="D55" t="s">
        <v>22</v>
      </c>
      <c r="E55" t="s">
        <v>23</v>
      </c>
      <c r="F55" t="str">
        <f t="shared" ref="F55" si="8">"/code/TS3-"&amp;D55&amp;"/lexrank"</f>
        <v>/code/TS3-S1/lexrank</v>
      </c>
      <c r="G55" t="s">
        <v>169</v>
      </c>
      <c r="H55">
        <v>1.6957754329996499</v>
      </c>
      <c r="I55" t="s">
        <v>303</v>
      </c>
      <c r="J55">
        <v>2.0046212549932498</v>
      </c>
      <c r="K55">
        <v>9.9999999999999995E-7</v>
      </c>
      <c r="L55">
        <v>9.9999999999999995E-7</v>
      </c>
      <c r="M55">
        <v>20</v>
      </c>
      <c r="N55" t="s">
        <v>25</v>
      </c>
      <c r="O55" t="s">
        <v>25</v>
      </c>
      <c r="P55">
        <v>9.9999999999999995E-7</v>
      </c>
      <c r="Q55">
        <v>10</v>
      </c>
      <c r="R55" s="4" t="s">
        <v>444</v>
      </c>
      <c r="S55" t="s">
        <v>384</v>
      </c>
    </row>
    <row r="56" spans="1:19" ht="15" customHeight="1" x14ac:dyDescent="0.25">
      <c r="A56" t="s">
        <v>164</v>
      </c>
      <c r="B56" t="s">
        <v>165</v>
      </c>
      <c r="C56" t="s">
        <v>73</v>
      </c>
      <c r="D56" t="s">
        <v>22</v>
      </c>
      <c r="E56" t="s">
        <v>23</v>
      </c>
      <c r="F56" t="str">
        <f t="shared" ref="F56" si="9">"/code/TS3-"&amp;D56&amp;"/lexrank"</f>
        <v>/code/TS3-S1/lexrank</v>
      </c>
      <c r="G56" t="s">
        <v>169</v>
      </c>
      <c r="H56">
        <v>1.6957754329996499</v>
      </c>
      <c r="I56" t="s">
        <v>304</v>
      </c>
      <c r="J56">
        <v>2.00465511200309</v>
      </c>
      <c r="K56">
        <v>9.9999999999999995E-7</v>
      </c>
      <c r="L56">
        <v>9.9999999999999995E-7</v>
      </c>
      <c r="M56">
        <v>20</v>
      </c>
      <c r="N56" t="s">
        <v>25</v>
      </c>
      <c r="O56" t="s">
        <v>25</v>
      </c>
      <c r="P56">
        <v>9.9999999999999995E-7</v>
      </c>
      <c r="Q56">
        <v>10</v>
      </c>
      <c r="R56" s="4" t="s">
        <v>445</v>
      </c>
      <c r="S56" t="s">
        <v>385</v>
      </c>
    </row>
    <row r="57" spans="1:19" ht="15" customHeight="1" x14ac:dyDescent="0.25">
      <c r="A57" t="s">
        <v>164</v>
      </c>
      <c r="B57" t="s">
        <v>165</v>
      </c>
      <c r="C57" t="s">
        <v>73</v>
      </c>
      <c r="D57" t="s">
        <v>22</v>
      </c>
      <c r="E57" t="s">
        <v>23</v>
      </c>
      <c r="F57" t="str">
        <f t="shared" ref="F57:F66" si="10">"/code/TS3-"&amp;D57&amp;"/lexrank"</f>
        <v>/code/TS3-S1/lexrank</v>
      </c>
      <c r="G57" t="s">
        <v>169</v>
      </c>
      <c r="H57">
        <v>1.6957754329996499</v>
      </c>
      <c r="I57" t="s">
        <v>305</v>
      </c>
      <c r="J57">
        <v>2.4874578960006999</v>
      </c>
      <c r="K57">
        <v>9.9999999999999995E-7</v>
      </c>
      <c r="L57">
        <v>9.9999999999999995E-7</v>
      </c>
      <c r="M57">
        <v>20</v>
      </c>
      <c r="N57" t="s">
        <v>25</v>
      </c>
      <c r="O57" t="s">
        <v>25</v>
      </c>
      <c r="P57">
        <v>9.9999999999999995E-7</v>
      </c>
      <c r="Q57">
        <v>10</v>
      </c>
      <c r="R57" s="4" t="s">
        <v>446</v>
      </c>
      <c r="S57" t="s">
        <v>386</v>
      </c>
    </row>
    <row r="58" spans="1:19" ht="15" customHeight="1" x14ac:dyDescent="0.25">
      <c r="A58" t="s">
        <v>164</v>
      </c>
      <c r="B58" t="s">
        <v>165</v>
      </c>
      <c r="C58" t="s">
        <v>73</v>
      </c>
      <c r="D58" t="s">
        <v>22</v>
      </c>
      <c r="E58" t="s">
        <v>23</v>
      </c>
      <c r="F58" t="str">
        <f t="shared" si="10"/>
        <v>/code/TS3-S1/lexrank</v>
      </c>
      <c r="G58" t="s">
        <v>172</v>
      </c>
      <c r="H58">
        <v>3.32307962099912</v>
      </c>
      <c r="I58" t="s">
        <v>303</v>
      </c>
      <c r="J58">
        <v>3.37957464899227</v>
      </c>
      <c r="K58">
        <v>1.0000000000000001E-5</v>
      </c>
      <c r="L58">
        <v>6.0000000000000002E-6</v>
      </c>
      <c r="M58">
        <v>20</v>
      </c>
      <c r="N58" t="s">
        <v>25</v>
      </c>
      <c r="O58" t="s">
        <v>25</v>
      </c>
      <c r="P58">
        <v>3.9999999999999998E-6</v>
      </c>
      <c r="Q58">
        <v>10</v>
      </c>
      <c r="R58" s="4" t="s">
        <v>447</v>
      </c>
      <c r="S58" t="s">
        <v>387</v>
      </c>
    </row>
    <row r="59" spans="1:19" ht="15" customHeight="1" x14ac:dyDescent="0.25">
      <c r="A59" t="s">
        <v>164</v>
      </c>
      <c r="B59" t="s">
        <v>165</v>
      </c>
      <c r="C59" t="s">
        <v>73</v>
      </c>
      <c r="D59" t="s">
        <v>22</v>
      </c>
      <c r="E59" t="s">
        <v>23</v>
      </c>
      <c r="F59" t="str">
        <f t="shared" ref="F59" si="11">"/code/TS3-"&amp;D59&amp;"/lexrank"</f>
        <v>/code/TS3-S1/lexrank</v>
      </c>
      <c r="G59" t="s">
        <v>172</v>
      </c>
      <c r="H59">
        <v>3.32307962099912</v>
      </c>
      <c r="I59" t="s">
        <v>304</v>
      </c>
      <c r="J59">
        <v>3.33099804600351</v>
      </c>
      <c r="K59">
        <v>1.0000000000000001E-5</v>
      </c>
      <c r="L59">
        <v>6.0000000000000002E-6</v>
      </c>
      <c r="M59">
        <v>20</v>
      </c>
      <c r="N59" t="s">
        <v>25</v>
      </c>
      <c r="O59" t="s">
        <v>25</v>
      </c>
      <c r="P59">
        <v>3.9999999999999998E-6</v>
      </c>
      <c r="Q59">
        <v>10</v>
      </c>
      <c r="R59" s="4" t="s">
        <v>448</v>
      </c>
      <c r="S59" t="s">
        <v>388</v>
      </c>
    </row>
    <row r="60" spans="1:19" ht="15" customHeight="1" x14ac:dyDescent="0.25">
      <c r="A60" t="s">
        <v>164</v>
      </c>
      <c r="B60" t="s">
        <v>165</v>
      </c>
      <c r="C60" t="s">
        <v>73</v>
      </c>
      <c r="D60" t="s">
        <v>22</v>
      </c>
      <c r="E60" t="s">
        <v>23</v>
      </c>
      <c r="F60" t="str">
        <f t="shared" si="10"/>
        <v>/code/TS3-S1/lexrank</v>
      </c>
      <c r="G60" t="s">
        <v>172</v>
      </c>
      <c r="H60">
        <v>3.32307962099912</v>
      </c>
      <c r="I60" t="s">
        <v>305</v>
      </c>
      <c r="J60">
        <v>3.5214059209974899</v>
      </c>
      <c r="K60">
        <v>1.0000000000000001E-5</v>
      </c>
      <c r="L60">
        <v>6.0000000000000002E-6</v>
      </c>
      <c r="M60">
        <v>20</v>
      </c>
      <c r="N60" t="s">
        <v>25</v>
      </c>
      <c r="O60" t="s">
        <v>25</v>
      </c>
      <c r="P60">
        <v>3.9999999999999998E-6</v>
      </c>
      <c r="Q60">
        <v>10</v>
      </c>
      <c r="R60" s="4" t="s">
        <v>449</v>
      </c>
      <c r="S60" t="s">
        <v>389</v>
      </c>
    </row>
    <row r="61" spans="1:19" ht="15" customHeight="1" x14ac:dyDescent="0.25">
      <c r="A61" t="s">
        <v>164</v>
      </c>
      <c r="B61" t="s">
        <v>165</v>
      </c>
      <c r="C61" t="s">
        <v>73</v>
      </c>
      <c r="D61" t="s">
        <v>22</v>
      </c>
      <c r="E61" t="s">
        <v>23</v>
      </c>
      <c r="F61" t="str">
        <f t="shared" si="10"/>
        <v>/code/TS3-S1/lexrank</v>
      </c>
      <c r="G61" t="s">
        <v>175</v>
      </c>
      <c r="H61">
        <v>3.71681327799979</v>
      </c>
      <c r="I61" t="s">
        <v>303</v>
      </c>
      <c r="J61">
        <v>4.1195343950093903</v>
      </c>
      <c r="K61">
        <v>1.5E-5</v>
      </c>
      <c r="L61">
        <v>9.0000000000000002E-6</v>
      </c>
      <c r="M61">
        <v>20</v>
      </c>
      <c r="N61" t="s">
        <v>25</v>
      </c>
      <c r="O61" t="s">
        <v>25</v>
      </c>
      <c r="P61">
        <v>6.0000000000000002E-6</v>
      </c>
      <c r="Q61">
        <v>10</v>
      </c>
      <c r="R61" s="4" t="s">
        <v>450</v>
      </c>
      <c r="S61" t="s">
        <v>390</v>
      </c>
    </row>
    <row r="62" spans="1:19" ht="15" customHeight="1" x14ac:dyDescent="0.25">
      <c r="A62" t="s">
        <v>164</v>
      </c>
      <c r="B62" t="s">
        <v>165</v>
      </c>
      <c r="C62" t="s">
        <v>73</v>
      </c>
      <c r="D62" t="s">
        <v>22</v>
      </c>
      <c r="E62" t="s">
        <v>23</v>
      </c>
      <c r="F62" t="str">
        <f t="shared" ref="F62" si="12">"/code/TS3-"&amp;D62&amp;"/lexrank"</f>
        <v>/code/TS3-S1/lexrank</v>
      </c>
      <c r="G62" t="s">
        <v>175</v>
      </c>
      <c r="H62">
        <v>3.71681327799979</v>
      </c>
      <c r="I62" t="s">
        <v>304</v>
      </c>
      <c r="J62">
        <v>4.1493521240045004</v>
      </c>
      <c r="K62">
        <v>1.5E-5</v>
      </c>
      <c r="L62">
        <v>9.0000000000000002E-6</v>
      </c>
      <c r="M62">
        <v>20</v>
      </c>
      <c r="N62" t="s">
        <v>25</v>
      </c>
      <c r="O62" t="s">
        <v>25</v>
      </c>
      <c r="P62">
        <v>6.0000000000000002E-6</v>
      </c>
      <c r="Q62">
        <v>10</v>
      </c>
      <c r="R62" s="4" t="s">
        <v>451</v>
      </c>
      <c r="S62" t="s">
        <v>391</v>
      </c>
    </row>
    <row r="63" spans="1:19" ht="15" customHeight="1" x14ac:dyDescent="0.25">
      <c r="A63" t="s">
        <v>164</v>
      </c>
      <c r="B63" t="s">
        <v>165</v>
      </c>
      <c r="C63" t="s">
        <v>73</v>
      </c>
      <c r="D63" t="s">
        <v>22</v>
      </c>
      <c r="E63" t="s">
        <v>23</v>
      </c>
      <c r="F63" t="str">
        <f t="shared" si="10"/>
        <v>/code/TS3-S1/lexrank</v>
      </c>
      <c r="G63" t="s">
        <v>175</v>
      </c>
      <c r="H63">
        <v>3.71681327799979</v>
      </c>
      <c r="I63" t="s">
        <v>305</v>
      </c>
      <c r="J63">
        <v>4.1544651169970104</v>
      </c>
      <c r="K63">
        <v>1.5E-5</v>
      </c>
      <c r="L63">
        <v>9.0000000000000002E-6</v>
      </c>
      <c r="M63">
        <v>20</v>
      </c>
      <c r="N63" t="s">
        <v>25</v>
      </c>
      <c r="O63" t="s">
        <v>25</v>
      </c>
      <c r="P63">
        <v>6.0000000000000002E-6</v>
      </c>
      <c r="Q63">
        <v>10</v>
      </c>
      <c r="R63" s="4" t="s">
        <v>452</v>
      </c>
      <c r="S63" t="s">
        <v>392</v>
      </c>
    </row>
    <row r="64" spans="1:19" ht="15" customHeight="1" x14ac:dyDescent="0.25">
      <c r="A64" t="s">
        <v>164</v>
      </c>
      <c r="B64" t="s">
        <v>165</v>
      </c>
      <c r="C64" t="s">
        <v>73</v>
      </c>
      <c r="D64" t="s">
        <v>22</v>
      </c>
      <c r="E64" t="s">
        <v>23</v>
      </c>
      <c r="F64" t="str">
        <f t="shared" si="10"/>
        <v>/code/TS3-S1/lexrank</v>
      </c>
      <c r="G64" t="s">
        <v>178</v>
      </c>
      <c r="H64">
        <v>1.98883720899993</v>
      </c>
      <c r="I64" t="s">
        <v>303</v>
      </c>
      <c r="J64">
        <v>2.3139911470061598</v>
      </c>
      <c r="K64">
        <v>3.0000000000000001E-6</v>
      </c>
      <c r="L64">
        <v>1.9999999999999999E-6</v>
      </c>
      <c r="M64">
        <v>20</v>
      </c>
      <c r="N64" t="s">
        <v>25</v>
      </c>
      <c r="O64" t="s">
        <v>25</v>
      </c>
      <c r="P64">
        <v>9.9999999999999995E-7</v>
      </c>
      <c r="Q64">
        <v>10</v>
      </c>
      <c r="R64" s="4" t="s">
        <v>453</v>
      </c>
      <c r="S64" t="s">
        <v>393</v>
      </c>
    </row>
    <row r="65" spans="1:19" ht="15" customHeight="1" x14ac:dyDescent="0.25">
      <c r="A65" t="s">
        <v>164</v>
      </c>
      <c r="B65" t="s">
        <v>165</v>
      </c>
      <c r="C65" t="s">
        <v>73</v>
      </c>
      <c r="D65" t="s">
        <v>22</v>
      </c>
      <c r="E65" t="s">
        <v>23</v>
      </c>
      <c r="F65" t="str">
        <f t="shared" ref="F65" si="13">"/code/TS3-"&amp;D65&amp;"/lexrank"</f>
        <v>/code/TS3-S1/lexrank</v>
      </c>
      <c r="G65" t="s">
        <v>178</v>
      </c>
      <c r="H65">
        <v>1.98883720899993</v>
      </c>
      <c r="I65" t="s">
        <v>304</v>
      </c>
      <c r="J65">
        <v>2.3010431680013399</v>
      </c>
      <c r="K65">
        <v>3.0000000000000001E-6</v>
      </c>
      <c r="L65">
        <v>1.9999999999999999E-6</v>
      </c>
      <c r="M65">
        <v>20</v>
      </c>
      <c r="N65" t="s">
        <v>25</v>
      </c>
      <c r="O65" t="s">
        <v>25</v>
      </c>
      <c r="P65">
        <v>9.9999999999999995E-7</v>
      </c>
      <c r="Q65">
        <v>10</v>
      </c>
      <c r="R65" s="4" t="s">
        <v>454</v>
      </c>
      <c r="S65" t="s">
        <v>394</v>
      </c>
    </row>
    <row r="66" spans="1:19" ht="15" customHeight="1" x14ac:dyDescent="0.25">
      <c r="A66" t="s">
        <v>164</v>
      </c>
      <c r="B66" t="s">
        <v>165</v>
      </c>
      <c r="C66" t="s">
        <v>73</v>
      </c>
      <c r="D66" t="s">
        <v>22</v>
      </c>
      <c r="E66" t="s">
        <v>23</v>
      </c>
      <c r="F66" t="str">
        <f t="shared" si="10"/>
        <v>/code/TS3-S1/lexrank</v>
      </c>
      <c r="G66" t="s">
        <v>178</v>
      </c>
      <c r="H66">
        <v>1.98883720899993</v>
      </c>
      <c r="I66" t="s">
        <v>305</v>
      </c>
      <c r="J66">
        <v>2.3405813110002698</v>
      </c>
      <c r="K66">
        <v>3.0000000000000001E-6</v>
      </c>
      <c r="L66">
        <v>1.9999999999999999E-6</v>
      </c>
      <c r="M66">
        <v>20</v>
      </c>
      <c r="N66" t="s">
        <v>25</v>
      </c>
      <c r="O66" t="s">
        <v>25</v>
      </c>
      <c r="P66">
        <v>9.9999999999999995E-7</v>
      </c>
      <c r="Q66">
        <v>10</v>
      </c>
      <c r="R66" s="4" t="s">
        <v>455</v>
      </c>
      <c r="S66" t="s">
        <v>395</v>
      </c>
    </row>
    <row r="67" spans="1:19" ht="15" customHeight="1" x14ac:dyDescent="0.25">
      <c r="A67" t="s">
        <v>164</v>
      </c>
      <c r="B67" t="s">
        <v>165</v>
      </c>
      <c r="C67" t="s">
        <v>134</v>
      </c>
      <c r="D67" t="s">
        <v>22</v>
      </c>
      <c r="E67" t="s">
        <v>23</v>
      </c>
      <c r="F67" t="str">
        <f t="shared" ref="F67:F81" si="14">"/code/TS3-"&amp;D67&amp;"/mlongt5"</f>
        <v>/code/TS3-S1/mlongt5</v>
      </c>
      <c r="G67" t="s">
        <v>166</v>
      </c>
      <c r="H67">
        <v>545.48165473300003</v>
      </c>
      <c r="I67" t="s">
        <v>303</v>
      </c>
      <c r="J67">
        <v>359.634180837999</v>
      </c>
      <c r="K67">
        <v>2.3879999999999999E-3</v>
      </c>
      <c r="L67">
        <v>1.3929999999999999E-3</v>
      </c>
      <c r="M67">
        <v>20</v>
      </c>
      <c r="N67" t="s">
        <v>25</v>
      </c>
      <c r="O67" t="s">
        <v>25</v>
      </c>
      <c r="P67">
        <v>9.9500000000000001E-4</v>
      </c>
      <c r="Q67">
        <v>10</v>
      </c>
      <c r="R67" s="4" t="s">
        <v>456</v>
      </c>
      <c r="S67" t="s">
        <v>351</v>
      </c>
    </row>
    <row r="68" spans="1:19" ht="15" customHeight="1" x14ac:dyDescent="0.25">
      <c r="A68" t="s">
        <v>164</v>
      </c>
      <c r="B68" t="s">
        <v>165</v>
      </c>
      <c r="C68" t="s">
        <v>134</v>
      </c>
      <c r="D68" t="s">
        <v>22</v>
      </c>
      <c r="E68" t="s">
        <v>23</v>
      </c>
      <c r="F68" t="str">
        <f t="shared" si="14"/>
        <v>/code/TS3-S1/mlongt5</v>
      </c>
      <c r="G68" t="s">
        <v>166</v>
      </c>
      <c r="H68">
        <v>545.48165473300003</v>
      </c>
      <c r="I68" t="s">
        <v>304</v>
      </c>
      <c r="J68">
        <v>342.583973616999</v>
      </c>
      <c r="K68">
        <v>2.274E-3</v>
      </c>
      <c r="L68">
        <v>1.3270000000000001E-3</v>
      </c>
      <c r="M68">
        <v>20</v>
      </c>
      <c r="N68" t="s">
        <v>25</v>
      </c>
      <c r="O68" t="s">
        <v>25</v>
      </c>
      <c r="P68">
        <v>9.4799999999999995E-4</v>
      </c>
      <c r="Q68">
        <v>10</v>
      </c>
      <c r="R68" s="4" t="s">
        <v>457</v>
      </c>
      <c r="S68" t="s">
        <v>352</v>
      </c>
    </row>
    <row r="69" spans="1:19" ht="15" customHeight="1" x14ac:dyDescent="0.25">
      <c r="A69" t="s">
        <v>164</v>
      </c>
      <c r="B69" t="s">
        <v>165</v>
      </c>
      <c r="C69" t="s">
        <v>134</v>
      </c>
      <c r="D69" t="s">
        <v>22</v>
      </c>
      <c r="E69" t="s">
        <v>23</v>
      </c>
      <c r="F69" t="str">
        <f t="shared" si="14"/>
        <v>/code/TS3-S1/mlongt5</v>
      </c>
      <c r="G69" t="s">
        <v>166</v>
      </c>
      <c r="H69">
        <v>545.48165473300003</v>
      </c>
      <c r="I69" t="s">
        <v>305</v>
      </c>
      <c r="J69">
        <v>328.71484683499898</v>
      </c>
      <c r="K69">
        <v>2.1819999999999999E-3</v>
      </c>
      <c r="L69">
        <v>1.273E-3</v>
      </c>
      <c r="M69">
        <v>20</v>
      </c>
      <c r="N69" t="s">
        <v>25</v>
      </c>
      <c r="O69" t="s">
        <v>25</v>
      </c>
      <c r="P69">
        <v>9.0899999999999998E-4</v>
      </c>
      <c r="Q69">
        <v>10</v>
      </c>
      <c r="R69" s="4" t="s">
        <v>458</v>
      </c>
      <c r="S69" t="s">
        <v>353</v>
      </c>
    </row>
    <row r="70" spans="1:19" ht="15" customHeight="1" x14ac:dyDescent="0.25">
      <c r="A70" t="s">
        <v>164</v>
      </c>
      <c r="B70" t="s">
        <v>165</v>
      </c>
      <c r="C70" t="s">
        <v>134</v>
      </c>
      <c r="D70" t="s">
        <v>22</v>
      </c>
      <c r="E70" t="s">
        <v>23</v>
      </c>
      <c r="F70" t="str">
        <f t="shared" si="14"/>
        <v>/code/TS3-S1/mlongt5</v>
      </c>
      <c r="G70" t="s">
        <v>169</v>
      </c>
      <c r="H70">
        <v>282.09489571199902</v>
      </c>
      <c r="I70" t="s">
        <v>303</v>
      </c>
      <c r="J70">
        <v>208.77619527899901</v>
      </c>
      <c r="K70">
        <v>1.3829999999999999E-3</v>
      </c>
      <c r="L70">
        <v>8.0699999999999999E-4</v>
      </c>
      <c r="M70">
        <v>20</v>
      </c>
      <c r="N70" t="s">
        <v>25</v>
      </c>
      <c r="O70" t="s">
        <v>25</v>
      </c>
      <c r="P70">
        <v>5.7600000000000001E-4</v>
      </c>
      <c r="Q70">
        <v>10</v>
      </c>
      <c r="R70" s="4" t="s">
        <v>459</v>
      </c>
      <c r="S70" t="s">
        <v>354</v>
      </c>
    </row>
    <row r="71" spans="1:19" ht="15" customHeight="1" x14ac:dyDescent="0.25">
      <c r="A71" t="s">
        <v>164</v>
      </c>
      <c r="B71" t="s">
        <v>165</v>
      </c>
      <c r="C71" t="s">
        <v>134</v>
      </c>
      <c r="D71" t="s">
        <v>22</v>
      </c>
      <c r="E71" t="s">
        <v>23</v>
      </c>
      <c r="F71" t="str">
        <f t="shared" si="14"/>
        <v>/code/TS3-S1/mlongt5</v>
      </c>
      <c r="G71" t="s">
        <v>169</v>
      </c>
      <c r="H71">
        <v>282.09489571199902</v>
      </c>
      <c r="I71" t="s">
        <v>304</v>
      </c>
      <c r="J71">
        <v>219.19389769099999</v>
      </c>
      <c r="K71">
        <v>1.4519999999999999E-3</v>
      </c>
      <c r="L71">
        <v>8.4699999999999999E-4</v>
      </c>
      <c r="M71">
        <v>20</v>
      </c>
      <c r="N71" t="s">
        <v>25</v>
      </c>
      <c r="O71" t="s">
        <v>25</v>
      </c>
      <c r="P71">
        <v>6.0499999999999996E-4</v>
      </c>
      <c r="Q71">
        <v>10</v>
      </c>
      <c r="R71" s="4" t="s">
        <v>460</v>
      </c>
      <c r="S71" t="s">
        <v>355</v>
      </c>
    </row>
    <row r="72" spans="1:19" ht="15" customHeight="1" x14ac:dyDescent="0.25">
      <c r="A72" t="s">
        <v>164</v>
      </c>
      <c r="B72" t="s">
        <v>165</v>
      </c>
      <c r="C72" t="s">
        <v>134</v>
      </c>
      <c r="D72" t="s">
        <v>22</v>
      </c>
      <c r="E72" t="s">
        <v>23</v>
      </c>
      <c r="F72" t="str">
        <f t="shared" si="14"/>
        <v>/code/TS3-S1/mlongt5</v>
      </c>
      <c r="G72" t="s">
        <v>169</v>
      </c>
      <c r="H72">
        <v>282.09489571199902</v>
      </c>
      <c r="I72" t="s">
        <v>305</v>
      </c>
      <c r="J72">
        <v>209.50858262899899</v>
      </c>
      <c r="K72">
        <v>1.3879999999999999E-3</v>
      </c>
      <c r="L72">
        <v>8.0900000000000004E-4</v>
      </c>
      <c r="M72">
        <v>20</v>
      </c>
      <c r="N72" t="s">
        <v>25</v>
      </c>
      <c r="O72" t="s">
        <v>25</v>
      </c>
      <c r="P72">
        <v>5.7799999999999995E-4</v>
      </c>
      <c r="Q72">
        <v>10</v>
      </c>
      <c r="R72" s="4" t="s">
        <v>461</v>
      </c>
      <c r="S72" t="s">
        <v>356</v>
      </c>
    </row>
    <row r="73" spans="1:19" ht="15" customHeight="1" x14ac:dyDescent="0.25">
      <c r="A73" t="s">
        <v>164</v>
      </c>
      <c r="B73" t="s">
        <v>165</v>
      </c>
      <c r="C73" t="s">
        <v>134</v>
      </c>
      <c r="D73" t="s">
        <v>22</v>
      </c>
      <c r="E73" t="s">
        <v>23</v>
      </c>
      <c r="F73" t="str">
        <f t="shared" si="14"/>
        <v>/code/TS3-S1/mlongt5</v>
      </c>
      <c r="G73" t="s">
        <v>172</v>
      </c>
      <c r="H73">
        <v>1329.8535665939901</v>
      </c>
      <c r="I73" t="s">
        <v>303</v>
      </c>
      <c r="J73">
        <v>950.86541918900002</v>
      </c>
      <c r="K73">
        <v>6.326E-3</v>
      </c>
      <c r="L73">
        <v>3.6909999999999998E-3</v>
      </c>
      <c r="M73">
        <v>20</v>
      </c>
      <c r="N73" t="s">
        <v>25</v>
      </c>
      <c r="O73" t="s">
        <v>25</v>
      </c>
      <c r="P73">
        <v>2.6350000000000002E-3</v>
      </c>
      <c r="Q73">
        <v>10</v>
      </c>
      <c r="R73" s="4" t="s">
        <v>462</v>
      </c>
      <c r="S73" t="s">
        <v>357</v>
      </c>
    </row>
    <row r="74" spans="1:19" ht="15" customHeight="1" x14ac:dyDescent="0.25">
      <c r="A74" t="s">
        <v>164</v>
      </c>
      <c r="B74" t="s">
        <v>165</v>
      </c>
      <c r="C74" t="s">
        <v>134</v>
      </c>
      <c r="D74" t="s">
        <v>22</v>
      </c>
      <c r="E74" t="s">
        <v>23</v>
      </c>
      <c r="F74" t="str">
        <f t="shared" si="14"/>
        <v>/code/TS3-S1/mlongt5</v>
      </c>
      <c r="G74" t="s">
        <v>172</v>
      </c>
      <c r="H74">
        <v>1329.8535665939901</v>
      </c>
      <c r="I74" t="s">
        <v>304</v>
      </c>
      <c r="J74">
        <v>1117.818865856</v>
      </c>
      <c r="K74">
        <v>7.4320000000000002E-3</v>
      </c>
      <c r="L74">
        <v>4.3359999999999996E-3</v>
      </c>
      <c r="M74">
        <v>20</v>
      </c>
      <c r="N74" t="s">
        <v>25</v>
      </c>
      <c r="O74" t="s">
        <v>25</v>
      </c>
      <c r="P74">
        <v>3.0950000000000001E-3</v>
      </c>
      <c r="Q74">
        <v>10</v>
      </c>
      <c r="R74" s="4" t="s">
        <v>463</v>
      </c>
      <c r="S74" t="s">
        <v>358</v>
      </c>
    </row>
    <row r="75" spans="1:19" ht="15" customHeight="1" x14ac:dyDescent="0.25">
      <c r="A75" t="s">
        <v>164</v>
      </c>
      <c r="B75" t="s">
        <v>165</v>
      </c>
      <c r="C75" t="s">
        <v>134</v>
      </c>
      <c r="D75" t="s">
        <v>22</v>
      </c>
      <c r="E75" t="s">
        <v>23</v>
      </c>
      <c r="F75" t="str">
        <f t="shared" si="14"/>
        <v>/code/TS3-S1/mlongt5</v>
      </c>
      <c r="G75" t="s">
        <v>172</v>
      </c>
      <c r="H75">
        <v>1329.8535665939901</v>
      </c>
      <c r="I75" t="s">
        <v>305</v>
      </c>
      <c r="J75">
        <v>1065.3967985879999</v>
      </c>
      <c r="K75">
        <v>7.0870000000000004E-3</v>
      </c>
      <c r="L75">
        <v>4.1349999999999998E-3</v>
      </c>
      <c r="M75">
        <v>20</v>
      </c>
      <c r="N75" t="s">
        <v>25</v>
      </c>
      <c r="O75" t="s">
        <v>25</v>
      </c>
      <c r="P75">
        <v>2.9520000000000002E-3</v>
      </c>
      <c r="Q75">
        <v>10</v>
      </c>
      <c r="R75" s="4" t="s">
        <v>464</v>
      </c>
      <c r="S75" t="s">
        <v>359</v>
      </c>
    </row>
    <row r="76" spans="1:19" ht="15" customHeight="1" x14ac:dyDescent="0.25">
      <c r="A76" t="s">
        <v>164</v>
      </c>
      <c r="B76" t="s">
        <v>165</v>
      </c>
      <c r="C76" t="s">
        <v>134</v>
      </c>
      <c r="D76" t="s">
        <v>22</v>
      </c>
      <c r="E76" t="s">
        <v>23</v>
      </c>
      <c r="F76" t="str">
        <f t="shared" si="14"/>
        <v>/code/TS3-S1/mlongt5</v>
      </c>
      <c r="G76" t="s">
        <v>175</v>
      </c>
      <c r="H76">
        <v>879.11570298599997</v>
      </c>
      <c r="I76" t="s">
        <v>303</v>
      </c>
      <c r="J76">
        <v>553.67541214699997</v>
      </c>
      <c r="K76">
        <v>3.6800000000000001E-3</v>
      </c>
      <c r="L76">
        <v>2.147E-3</v>
      </c>
      <c r="M76">
        <v>20</v>
      </c>
      <c r="N76" t="s">
        <v>25</v>
      </c>
      <c r="O76" t="s">
        <v>25</v>
      </c>
      <c r="P76">
        <v>1.5330000000000001E-3</v>
      </c>
      <c r="Q76">
        <v>10</v>
      </c>
      <c r="R76" s="4" t="s">
        <v>465</v>
      </c>
      <c r="S76" t="s">
        <v>360</v>
      </c>
    </row>
    <row r="77" spans="1:19" ht="15" customHeight="1" x14ac:dyDescent="0.25">
      <c r="A77" t="s">
        <v>164</v>
      </c>
      <c r="B77" t="s">
        <v>165</v>
      </c>
      <c r="C77" t="s">
        <v>134</v>
      </c>
      <c r="D77" t="s">
        <v>22</v>
      </c>
      <c r="E77" t="s">
        <v>23</v>
      </c>
      <c r="F77" t="str">
        <f t="shared" si="14"/>
        <v>/code/TS3-S1/mlongt5</v>
      </c>
      <c r="G77" t="s">
        <v>175</v>
      </c>
      <c r="H77">
        <v>879.11570298599997</v>
      </c>
      <c r="I77" t="s">
        <v>304</v>
      </c>
      <c r="J77">
        <v>511.755010342996</v>
      </c>
      <c r="K77">
        <v>3.4020000000000001E-3</v>
      </c>
      <c r="L77">
        <v>1.9849999999999998E-3</v>
      </c>
      <c r="M77">
        <v>20</v>
      </c>
      <c r="N77" t="s">
        <v>25</v>
      </c>
      <c r="O77" t="s">
        <v>25</v>
      </c>
      <c r="P77">
        <v>1.418E-3</v>
      </c>
      <c r="Q77">
        <v>10</v>
      </c>
      <c r="R77" s="4" t="s">
        <v>466</v>
      </c>
      <c r="S77" t="s">
        <v>361</v>
      </c>
    </row>
    <row r="78" spans="1:19" ht="15" customHeight="1" x14ac:dyDescent="0.25">
      <c r="A78" t="s">
        <v>164</v>
      </c>
      <c r="B78" t="s">
        <v>165</v>
      </c>
      <c r="C78" t="s">
        <v>134</v>
      </c>
      <c r="D78" t="s">
        <v>22</v>
      </c>
      <c r="E78" t="s">
        <v>23</v>
      </c>
      <c r="F78" t="str">
        <f t="shared" si="14"/>
        <v>/code/TS3-S1/mlongt5</v>
      </c>
      <c r="G78" t="s">
        <v>175</v>
      </c>
      <c r="H78">
        <v>879.11570298599997</v>
      </c>
      <c r="I78" t="s">
        <v>305</v>
      </c>
      <c r="J78">
        <v>571.46120473799999</v>
      </c>
      <c r="K78">
        <v>3.8E-3</v>
      </c>
      <c r="L78">
        <v>2.2169999999999998E-3</v>
      </c>
      <c r="M78">
        <v>20</v>
      </c>
      <c r="N78" t="s">
        <v>25</v>
      </c>
      <c r="O78" t="s">
        <v>25</v>
      </c>
      <c r="P78">
        <v>1.583E-3</v>
      </c>
      <c r="Q78">
        <v>10</v>
      </c>
      <c r="R78" s="4" t="s">
        <v>467</v>
      </c>
      <c r="S78" t="s">
        <v>362</v>
      </c>
    </row>
    <row r="79" spans="1:19" ht="15" customHeight="1" x14ac:dyDescent="0.25">
      <c r="A79" t="s">
        <v>164</v>
      </c>
      <c r="B79" t="s">
        <v>165</v>
      </c>
      <c r="C79" t="s">
        <v>134</v>
      </c>
      <c r="D79" t="s">
        <v>22</v>
      </c>
      <c r="E79" t="s">
        <v>23</v>
      </c>
      <c r="F79" t="str">
        <f t="shared" si="14"/>
        <v>/code/TS3-S1/mlongt5</v>
      </c>
      <c r="G79" t="s">
        <v>178</v>
      </c>
      <c r="H79">
        <v>237.321181942999</v>
      </c>
      <c r="I79" t="s">
        <v>303</v>
      </c>
      <c r="J79">
        <v>212.75069623499999</v>
      </c>
      <c r="K79">
        <v>1.41E-3</v>
      </c>
      <c r="L79">
        <v>8.2200000000000003E-4</v>
      </c>
      <c r="M79">
        <v>20</v>
      </c>
      <c r="N79" t="s">
        <v>25</v>
      </c>
      <c r="O79" t="s">
        <v>25</v>
      </c>
      <c r="P79">
        <v>5.8699999999999996E-4</v>
      </c>
      <c r="Q79">
        <v>10</v>
      </c>
      <c r="R79" s="4" t="s">
        <v>468</v>
      </c>
      <c r="S79" t="s">
        <v>363</v>
      </c>
    </row>
    <row r="80" spans="1:19" ht="15" customHeight="1" x14ac:dyDescent="0.25">
      <c r="A80" t="s">
        <v>164</v>
      </c>
      <c r="B80" t="s">
        <v>165</v>
      </c>
      <c r="C80" t="s">
        <v>134</v>
      </c>
      <c r="D80" t="s">
        <v>22</v>
      </c>
      <c r="E80" t="s">
        <v>23</v>
      </c>
      <c r="F80" t="str">
        <f t="shared" si="14"/>
        <v>/code/TS3-S1/mlongt5</v>
      </c>
      <c r="G80" t="s">
        <v>178</v>
      </c>
      <c r="H80">
        <v>237.321181942999</v>
      </c>
      <c r="I80" t="s">
        <v>304</v>
      </c>
      <c r="J80">
        <v>180.918142071999</v>
      </c>
      <c r="K80">
        <v>1.1969999999999999E-3</v>
      </c>
      <c r="L80">
        <v>6.9800000000000005E-4</v>
      </c>
      <c r="M80">
        <v>20</v>
      </c>
      <c r="N80" t="s">
        <v>25</v>
      </c>
      <c r="O80" t="s">
        <v>25</v>
      </c>
      <c r="P80">
        <v>4.9899999999999999E-4</v>
      </c>
      <c r="Q80">
        <v>10</v>
      </c>
      <c r="R80" s="4" t="s">
        <v>469</v>
      </c>
      <c r="S80" t="s">
        <v>364</v>
      </c>
    </row>
    <row r="81" spans="1:19" ht="15" customHeight="1" x14ac:dyDescent="0.25">
      <c r="A81" t="s">
        <v>164</v>
      </c>
      <c r="B81" t="s">
        <v>165</v>
      </c>
      <c r="C81" t="s">
        <v>134</v>
      </c>
      <c r="D81" t="s">
        <v>22</v>
      </c>
      <c r="E81" t="s">
        <v>23</v>
      </c>
      <c r="F81" t="str">
        <f t="shared" si="14"/>
        <v>/code/TS3-S1/mlongt5</v>
      </c>
      <c r="G81" t="s">
        <v>178</v>
      </c>
      <c r="H81">
        <v>237.321181942999</v>
      </c>
      <c r="I81" t="s">
        <v>305</v>
      </c>
      <c r="J81">
        <v>186.01988541399899</v>
      </c>
      <c r="K81">
        <v>1.2310000000000001E-3</v>
      </c>
      <c r="L81">
        <v>7.18E-4</v>
      </c>
      <c r="M81">
        <v>20</v>
      </c>
      <c r="N81" t="s">
        <v>25</v>
      </c>
      <c r="O81" t="s">
        <v>25</v>
      </c>
      <c r="P81">
        <v>5.13E-4</v>
      </c>
      <c r="Q81">
        <v>10</v>
      </c>
      <c r="R81" s="4" t="s">
        <v>470</v>
      </c>
      <c r="S81" t="s">
        <v>365</v>
      </c>
    </row>
    <row r="82" spans="1:19" ht="15" customHeight="1" x14ac:dyDescent="0.25">
      <c r="A82" t="s">
        <v>164</v>
      </c>
      <c r="B82" t="s">
        <v>165</v>
      </c>
      <c r="C82" t="s">
        <v>191</v>
      </c>
      <c r="D82" t="s">
        <v>22</v>
      </c>
      <c r="E82" t="s">
        <v>23</v>
      </c>
      <c r="F82" t="str">
        <f t="shared" ref="F82:F96" si="15">"/code/TS3-"&amp;D82&amp;"/mistralnemo"</f>
        <v>/code/TS3-S1/mistralnemo</v>
      </c>
      <c r="G82" t="s">
        <v>166</v>
      </c>
      <c r="H82">
        <v>1446.2061505879899</v>
      </c>
      <c r="I82" t="s">
        <v>303</v>
      </c>
      <c r="J82">
        <v>1477.57237227</v>
      </c>
      <c r="K82">
        <v>9.8410000000000008E-3</v>
      </c>
      <c r="L82">
        <v>5.7409999999999996E-3</v>
      </c>
      <c r="M82">
        <v>20</v>
      </c>
      <c r="N82" t="s">
        <v>25</v>
      </c>
      <c r="O82" t="s">
        <v>25</v>
      </c>
      <c r="P82">
        <v>4.1000000000000003E-3</v>
      </c>
      <c r="Q82">
        <v>10</v>
      </c>
      <c r="R82" s="4" t="s">
        <v>471</v>
      </c>
      <c r="S82" t="s">
        <v>366</v>
      </c>
    </row>
    <row r="83" spans="1:19" ht="15" customHeight="1" x14ac:dyDescent="0.25">
      <c r="A83" t="s">
        <v>164</v>
      </c>
      <c r="B83" t="s">
        <v>165</v>
      </c>
      <c r="C83" t="s">
        <v>191</v>
      </c>
      <c r="D83" t="s">
        <v>22</v>
      </c>
      <c r="E83" t="s">
        <v>23</v>
      </c>
      <c r="F83" t="str">
        <f t="shared" si="15"/>
        <v>/code/TS3-S1/mistralnemo</v>
      </c>
      <c r="G83" t="s">
        <v>166</v>
      </c>
      <c r="H83">
        <v>1446.2061505879899</v>
      </c>
      <c r="I83" t="s">
        <v>304</v>
      </c>
      <c r="J83">
        <v>1451.4274938369999</v>
      </c>
      <c r="K83">
        <v>9.6670000000000002E-3</v>
      </c>
      <c r="L83">
        <v>5.6389999999999999E-3</v>
      </c>
      <c r="M83">
        <v>20</v>
      </c>
      <c r="N83" t="s">
        <v>25</v>
      </c>
      <c r="O83" t="s">
        <v>25</v>
      </c>
      <c r="P83">
        <v>4.0280000000000003E-3</v>
      </c>
      <c r="Q83">
        <v>10</v>
      </c>
      <c r="R83" s="4" t="s">
        <v>472</v>
      </c>
      <c r="S83" t="s">
        <v>367</v>
      </c>
    </row>
    <row r="84" spans="1:19" ht="15" customHeight="1" x14ac:dyDescent="0.25">
      <c r="A84" t="s">
        <v>164</v>
      </c>
      <c r="B84" t="s">
        <v>165</v>
      </c>
      <c r="C84" t="s">
        <v>191</v>
      </c>
      <c r="D84" t="s">
        <v>22</v>
      </c>
      <c r="E84" t="s">
        <v>23</v>
      </c>
      <c r="F84" t="str">
        <f t="shared" si="15"/>
        <v>/code/TS3-S1/mistralnemo</v>
      </c>
      <c r="G84" t="s">
        <v>166</v>
      </c>
      <c r="H84">
        <v>1446.2061505879899</v>
      </c>
      <c r="I84" t="s">
        <v>305</v>
      </c>
      <c r="J84">
        <v>1457.4477874839999</v>
      </c>
      <c r="K84">
        <v>9.7070000000000004E-3</v>
      </c>
      <c r="L84">
        <v>5.6620000000000004E-3</v>
      </c>
      <c r="M84">
        <v>20</v>
      </c>
      <c r="N84" t="s">
        <v>25</v>
      </c>
      <c r="O84" t="s">
        <v>25</v>
      </c>
      <c r="P84">
        <v>4.0439999999999999E-3</v>
      </c>
      <c r="Q84">
        <v>10</v>
      </c>
      <c r="R84" s="4" t="s">
        <v>473</v>
      </c>
      <c r="S84" t="s">
        <v>368</v>
      </c>
    </row>
    <row r="85" spans="1:19" ht="15" customHeight="1" x14ac:dyDescent="0.25">
      <c r="A85" t="s">
        <v>164</v>
      </c>
      <c r="B85" t="s">
        <v>165</v>
      </c>
      <c r="C85" t="s">
        <v>191</v>
      </c>
      <c r="D85" t="s">
        <v>22</v>
      </c>
      <c r="E85" t="s">
        <v>23</v>
      </c>
      <c r="F85" t="str">
        <f t="shared" si="15"/>
        <v>/code/TS3-S1/mistralnemo</v>
      </c>
      <c r="G85" t="s">
        <v>169</v>
      </c>
      <c r="H85">
        <v>763.00418608000098</v>
      </c>
      <c r="I85" t="s">
        <v>303</v>
      </c>
      <c r="J85">
        <v>695.515794912003</v>
      </c>
      <c r="K85">
        <v>4.627E-3</v>
      </c>
      <c r="L85">
        <v>2.699E-3</v>
      </c>
      <c r="M85">
        <v>20</v>
      </c>
      <c r="N85" t="s">
        <v>25</v>
      </c>
      <c r="O85" t="s">
        <v>25</v>
      </c>
      <c r="P85">
        <v>1.928E-3</v>
      </c>
      <c r="Q85">
        <v>10</v>
      </c>
      <c r="R85" s="4" t="s">
        <v>474</v>
      </c>
      <c r="S85" t="s">
        <v>375</v>
      </c>
    </row>
    <row r="86" spans="1:19" ht="15" customHeight="1" x14ac:dyDescent="0.25">
      <c r="A86" t="s">
        <v>164</v>
      </c>
      <c r="B86" t="s">
        <v>165</v>
      </c>
      <c r="C86" t="s">
        <v>191</v>
      </c>
      <c r="D86" t="s">
        <v>22</v>
      </c>
      <c r="E86" t="s">
        <v>23</v>
      </c>
      <c r="F86" t="str">
        <f t="shared" si="15"/>
        <v>/code/TS3-S1/mistralnemo</v>
      </c>
      <c r="G86" t="s">
        <v>169</v>
      </c>
      <c r="H86">
        <v>763.00418608000098</v>
      </c>
      <c r="I86" t="s">
        <v>304</v>
      </c>
      <c r="J86">
        <v>666.64931283600095</v>
      </c>
      <c r="K86">
        <v>4.4349999999999997E-3</v>
      </c>
      <c r="L86">
        <v>2.5869999999999999E-3</v>
      </c>
      <c r="M86">
        <v>20</v>
      </c>
      <c r="N86" t="s">
        <v>25</v>
      </c>
      <c r="O86" t="s">
        <v>25</v>
      </c>
      <c r="P86">
        <v>1.848E-3</v>
      </c>
      <c r="Q86">
        <v>10</v>
      </c>
      <c r="R86" s="4" t="s">
        <v>475</v>
      </c>
      <c r="S86" t="s">
        <v>376</v>
      </c>
    </row>
    <row r="87" spans="1:19" ht="15" customHeight="1" x14ac:dyDescent="0.25">
      <c r="A87" t="s">
        <v>164</v>
      </c>
      <c r="B87" t="s">
        <v>165</v>
      </c>
      <c r="C87" t="s">
        <v>191</v>
      </c>
      <c r="D87" t="s">
        <v>22</v>
      </c>
      <c r="E87" t="s">
        <v>23</v>
      </c>
      <c r="F87" t="str">
        <f t="shared" si="15"/>
        <v>/code/TS3-S1/mistralnemo</v>
      </c>
      <c r="G87" t="s">
        <v>169</v>
      </c>
      <c r="H87">
        <v>763.00418608000098</v>
      </c>
      <c r="I87" t="s">
        <v>305</v>
      </c>
      <c r="J87">
        <v>690.02500716500799</v>
      </c>
      <c r="K87">
        <v>4.5909999999999996E-3</v>
      </c>
      <c r="L87">
        <v>2.6779999999999998E-3</v>
      </c>
      <c r="M87">
        <v>20</v>
      </c>
      <c r="N87" t="s">
        <v>25</v>
      </c>
      <c r="O87" t="s">
        <v>25</v>
      </c>
      <c r="P87">
        <v>1.913E-3</v>
      </c>
      <c r="Q87">
        <v>10</v>
      </c>
      <c r="R87" s="4" t="s">
        <v>476</v>
      </c>
      <c r="S87" t="s">
        <v>377</v>
      </c>
    </row>
    <row r="88" spans="1:19" ht="15" customHeight="1" x14ac:dyDescent="0.25">
      <c r="A88" t="s">
        <v>164</v>
      </c>
      <c r="B88" t="s">
        <v>165</v>
      </c>
      <c r="C88" t="s">
        <v>191</v>
      </c>
      <c r="D88" t="s">
        <v>22</v>
      </c>
      <c r="E88" t="s">
        <v>23</v>
      </c>
      <c r="F88" t="str">
        <f t="shared" si="15"/>
        <v>/code/TS3-S1/mistralnemo</v>
      </c>
      <c r="G88" t="s">
        <v>172</v>
      </c>
      <c r="H88">
        <v>2797.4379917209999</v>
      </c>
      <c r="I88" t="s">
        <v>303</v>
      </c>
      <c r="J88">
        <v>3662.0148237100002</v>
      </c>
      <c r="K88">
        <v>2.4403000000000001E-2</v>
      </c>
      <c r="L88">
        <v>1.4234999999999999E-2</v>
      </c>
      <c r="M88">
        <v>20</v>
      </c>
      <c r="N88" t="s">
        <v>25</v>
      </c>
      <c r="O88" t="s">
        <v>25</v>
      </c>
      <c r="P88">
        <v>1.0168E-2</v>
      </c>
      <c r="Q88">
        <v>10</v>
      </c>
      <c r="R88" s="4" t="s">
        <v>477</v>
      </c>
      <c r="S88" t="s">
        <v>378</v>
      </c>
    </row>
    <row r="89" spans="1:19" ht="15" customHeight="1" x14ac:dyDescent="0.25">
      <c r="A89" t="s">
        <v>164</v>
      </c>
      <c r="B89" t="s">
        <v>165</v>
      </c>
      <c r="C89" t="s">
        <v>191</v>
      </c>
      <c r="D89" t="s">
        <v>22</v>
      </c>
      <c r="E89" t="s">
        <v>23</v>
      </c>
      <c r="F89" t="str">
        <f t="shared" si="15"/>
        <v>/code/TS3-S1/mistralnemo</v>
      </c>
      <c r="G89" t="s">
        <v>172</v>
      </c>
      <c r="H89">
        <v>2797.4379917209999</v>
      </c>
      <c r="I89" t="s">
        <v>304</v>
      </c>
      <c r="J89">
        <v>3803.4978847810098</v>
      </c>
      <c r="K89">
        <v>2.5346E-2</v>
      </c>
      <c r="L89">
        <v>1.4785E-2</v>
      </c>
      <c r="M89">
        <v>20</v>
      </c>
      <c r="N89" t="s">
        <v>25</v>
      </c>
      <c r="O89" t="s">
        <v>25</v>
      </c>
      <c r="P89">
        <v>1.0560999999999999E-2</v>
      </c>
      <c r="Q89">
        <v>10</v>
      </c>
      <c r="R89" s="4" t="s">
        <v>478</v>
      </c>
      <c r="S89" t="s">
        <v>379</v>
      </c>
    </row>
    <row r="90" spans="1:19" ht="15" customHeight="1" x14ac:dyDescent="0.25">
      <c r="A90" t="s">
        <v>164</v>
      </c>
      <c r="B90" t="s">
        <v>165</v>
      </c>
      <c r="C90" t="s">
        <v>191</v>
      </c>
      <c r="D90" t="s">
        <v>22</v>
      </c>
      <c r="E90" t="s">
        <v>23</v>
      </c>
      <c r="F90" t="str">
        <f t="shared" si="15"/>
        <v>/code/TS3-S1/mistralnemo</v>
      </c>
      <c r="G90" t="s">
        <v>172</v>
      </c>
      <c r="H90">
        <v>2797.4379917209999</v>
      </c>
      <c r="I90" t="s">
        <v>305</v>
      </c>
      <c r="J90">
        <v>4004.58581284398</v>
      </c>
      <c r="K90">
        <v>2.6686999999999999E-2</v>
      </c>
      <c r="L90">
        <v>1.5568E-2</v>
      </c>
      <c r="M90">
        <v>20</v>
      </c>
      <c r="N90" t="s">
        <v>25</v>
      </c>
      <c r="O90" t="s">
        <v>25</v>
      </c>
      <c r="P90">
        <v>1.1119E-2</v>
      </c>
      <c r="Q90">
        <v>10</v>
      </c>
      <c r="R90" s="4" t="s">
        <v>479</v>
      </c>
      <c r="S90" t="s">
        <v>380</v>
      </c>
    </row>
    <row r="91" spans="1:19" ht="15" customHeight="1" x14ac:dyDescent="0.25">
      <c r="A91" t="s">
        <v>164</v>
      </c>
      <c r="B91" t="s">
        <v>165</v>
      </c>
      <c r="C91" t="s">
        <v>191</v>
      </c>
      <c r="D91" t="s">
        <v>22</v>
      </c>
      <c r="E91" t="s">
        <v>23</v>
      </c>
      <c r="F91" t="str">
        <f t="shared" si="15"/>
        <v>/code/TS3-S1/mistralnemo</v>
      </c>
      <c r="G91" t="s">
        <v>175</v>
      </c>
      <c r="H91">
        <v>3277.0762211770002</v>
      </c>
      <c r="I91" t="s">
        <v>303</v>
      </c>
      <c r="J91">
        <v>3069.4986019469902</v>
      </c>
      <c r="K91">
        <v>2.0452999999999999E-2</v>
      </c>
      <c r="L91">
        <v>1.1931000000000001E-2</v>
      </c>
      <c r="M91">
        <v>20</v>
      </c>
      <c r="N91" t="s">
        <v>25</v>
      </c>
      <c r="O91" t="s">
        <v>25</v>
      </c>
      <c r="P91">
        <v>8.5220000000000001E-3</v>
      </c>
      <c r="Q91">
        <v>10</v>
      </c>
      <c r="R91" s="4" t="s">
        <v>480</v>
      </c>
      <c r="S91" t="s">
        <v>369</v>
      </c>
    </row>
    <row r="92" spans="1:19" ht="15" customHeight="1" x14ac:dyDescent="0.25">
      <c r="A92" t="s">
        <v>164</v>
      </c>
      <c r="B92" t="s">
        <v>165</v>
      </c>
      <c r="C92" t="s">
        <v>191</v>
      </c>
      <c r="D92" t="s">
        <v>22</v>
      </c>
      <c r="E92" t="s">
        <v>23</v>
      </c>
      <c r="F92" t="str">
        <f t="shared" si="15"/>
        <v>/code/TS3-S1/mistralnemo</v>
      </c>
      <c r="G92" t="s">
        <v>175</v>
      </c>
      <c r="H92">
        <v>3277.0762211770002</v>
      </c>
      <c r="I92" t="s">
        <v>304</v>
      </c>
      <c r="J92">
        <v>3107.3187817959902</v>
      </c>
      <c r="K92">
        <v>2.0704E-2</v>
      </c>
      <c r="L92">
        <v>1.2076999999999999E-2</v>
      </c>
      <c r="M92">
        <v>20</v>
      </c>
      <c r="N92" t="s">
        <v>25</v>
      </c>
      <c r="O92" t="s">
        <v>25</v>
      </c>
      <c r="P92">
        <v>8.626E-3</v>
      </c>
      <c r="Q92">
        <v>10</v>
      </c>
      <c r="R92" s="4" t="s">
        <v>481</v>
      </c>
      <c r="S92" t="s">
        <v>370</v>
      </c>
    </row>
    <row r="93" spans="1:19" ht="15" customHeight="1" x14ac:dyDescent="0.25">
      <c r="A93" t="s">
        <v>164</v>
      </c>
      <c r="B93" t="s">
        <v>165</v>
      </c>
      <c r="C93" t="s">
        <v>191</v>
      </c>
      <c r="D93" t="s">
        <v>22</v>
      </c>
      <c r="E93" t="s">
        <v>23</v>
      </c>
      <c r="F93" t="str">
        <f t="shared" si="15"/>
        <v>/code/TS3-S1/mistralnemo</v>
      </c>
      <c r="G93" t="s">
        <v>175</v>
      </c>
      <c r="H93">
        <v>3277.0762211770002</v>
      </c>
      <c r="I93" t="s">
        <v>305</v>
      </c>
      <c r="J93">
        <v>2940.7809947780001</v>
      </c>
      <c r="K93">
        <v>1.9594E-2</v>
      </c>
      <c r="L93">
        <v>1.1429999999999999E-2</v>
      </c>
      <c r="M93">
        <v>20</v>
      </c>
      <c r="N93" t="s">
        <v>25</v>
      </c>
      <c r="O93" t="s">
        <v>25</v>
      </c>
      <c r="P93">
        <v>8.1639999999999994E-3</v>
      </c>
      <c r="Q93">
        <v>10</v>
      </c>
      <c r="R93" s="4" t="s">
        <v>482</v>
      </c>
      <c r="S93" t="s">
        <v>371</v>
      </c>
    </row>
    <row r="94" spans="1:19" ht="15" customHeight="1" x14ac:dyDescent="0.25">
      <c r="A94" t="s">
        <v>164</v>
      </c>
      <c r="B94" t="s">
        <v>165</v>
      </c>
      <c r="C94" t="s">
        <v>191</v>
      </c>
      <c r="D94" t="s">
        <v>22</v>
      </c>
      <c r="E94" t="s">
        <v>23</v>
      </c>
      <c r="F94" t="str">
        <f t="shared" si="15"/>
        <v>/code/TS3-S1/mistralnemo</v>
      </c>
      <c r="G94" t="s">
        <v>178</v>
      </c>
      <c r="H94">
        <v>2310.4216845769902</v>
      </c>
      <c r="I94" t="s">
        <v>303</v>
      </c>
      <c r="J94">
        <v>2385.2323647210001</v>
      </c>
      <c r="K94">
        <v>1.5890000000000001E-2</v>
      </c>
      <c r="L94">
        <v>9.2689999999999995E-3</v>
      </c>
      <c r="M94">
        <v>20</v>
      </c>
      <c r="N94" t="s">
        <v>25</v>
      </c>
      <c r="O94" t="s">
        <v>25</v>
      </c>
      <c r="P94">
        <v>6.6210000000000001E-3</v>
      </c>
      <c r="Q94">
        <v>10</v>
      </c>
      <c r="R94" s="4" t="s">
        <v>483</v>
      </c>
      <c r="S94" t="s">
        <v>372</v>
      </c>
    </row>
    <row r="95" spans="1:19" ht="15" customHeight="1" x14ac:dyDescent="0.25">
      <c r="A95" t="s">
        <v>164</v>
      </c>
      <c r="B95" t="s">
        <v>165</v>
      </c>
      <c r="C95" t="s">
        <v>191</v>
      </c>
      <c r="D95" t="s">
        <v>22</v>
      </c>
      <c r="E95" t="s">
        <v>23</v>
      </c>
      <c r="F95" t="str">
        <f t="shared" si="15"/>
        <v>/code/TS3-S1/mistralnemo</v>
      </c>
      <c r="G95" t="s">
        <v>178</v>
      </c>
      <c r="H95">
        <v>2310.4216845769902</v>
      </c>
      <c r="I95" t="s">
        <v>304</v>
      </c>
      <c r="J95">
        <v>2314.0276784749899</v>
      </c>
      <c r="K95">
        <v>1.5417E-2</v>
      </c>
      <c r="L95">
        <v>8.9929999999999993E-3</v>
      </c>
      <c r="M95">
        <v>20</v>
      </c>
      <c r="N95" t="s">
        <v>25</v>
      </c>
      <c r="O95" t="s">
        <v>25</v>
      </c>
      <c r="P95">
        <v>6.424E-3</v>
      </c>
      <c r="Q95">
        <v>10</v>
      </c>
      <c r="R95" s="4" t="s">
        <v>484</v>
      </c>
      <c r="S95" t="s">
        <v>373</v>
      </c>
    </row>
    <row r="96" spans="1:19" ht="15" customHeight="1" x14ac:dyDescent="0.25">
      <c r="A96" t="s">
        <v>164</v>
      </c>
      <c r="B96" t="s">
        <v>165</v>
      </c>
      <c r="C96" t="s">
        <v>191</v>
      </c>
      <c r="D96" t="s">
        <v>22</v>
      </c>
      <c r="E96" t="s">
        <v>23</v>
      </c>
      <c r="F96" t="str">
        <f t="shared" si="15"/>
        <v>/code/TS3-S1/mistralnemo</v>
      </c>
      <c r="G96" t="s">
        <v>178</v>
      </c>
      <c r="H96">
        <v>2310.4216845769902</v>
      </c>
      <c r="I96" t="s">
        <v>305</v>
      </c>
      <c r="J96">
        <v>2372.6702358259899</v>
      </c>
      <c r="K96">
        <v>1.5807999999999999E-2</v>
      </c>
      <c r="L96">
        <v>9.221E-3</v>
      </c>
      <c r="M96">
        <v>20</v>
      </c>
      <c r="N96" t="s">
        <v>25</v>
      </c>
      <c r="O96" t="s">
        <v>25</v>
      </c>
      <c r="P96">
        <v>6.5859999999999998E-3</v>
      </c>
      <c r="Q96">
        <v>10</v>
      </c>
      <c r="R96" s="4" t="s">
        <v>485</v>
      </c>
      <c r="S96" t="s">
        <v>374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7E470-6D74-4EFC-BBBF-EDAB8A29B8F4}">
  <dimension ref="A1:S159"/>
  <sheetViews>
    <sheetView zoomScaleNormal="100" workbookViewId="0"/>
  </sheetViews>
  <sheetFormatPr baseColWidth="10" defaultColWidth="9.140625" defaultRowHeight="15" x14ac:dyDescent="0.25"/>
  <cols>
    <col min="1" max="1" width="38.140625" bestFit="1" customWidth="1"/>
    <col min="2" max="2" width="8.140625" bestFit="1" customWidth="1"/>
    <col min="3" max="3" width="15.140625" bestFit="1" customWidth="1"/>
    <col min="4" max="4" width="7.28515625" bestFit="1" customWidth="1"/>
    <col min="5" max="5" width="9.140625" bestFit="1" customWidth="1"/>
    <col min="6" max="6" width="22.85546875" bestFit="1" customWidth="1"/>
    <col min="7" max="7" width="22.28515625" bestFit="1" customWidth="1"/>
    <col min="8" max="8" width="14.28515625" customWidth="1"/>
    <col min="9" max="9" width="4.5703125" bestFit="1" customWidth="1"/>
    <col min="10" max="10" width="20.140625" bestFit="1" customWidth="1"/>
    <col min="11" max="11" width="16.85546875" bestFit="1" customWidth="1"/>
    <col min="12" max="12" width="16.28515625" bestFit="1" customWidth="1"/>
    <col min="13" max="13" width="13.85546875" bestFit="1" customWidth="1"/>
    <col min="14" max="14" width="16.42578125" bestFit="1" customWidth="1"/>
    <col min="15" max="15" width="14" bestFit="1" customWidth="1"/>
    <col min="16" max="16" width="16.42578125" bestFit="1" customWidth="1"/>
    <col min="17" max="17" width="14" bestFit="1" customWidth="1"/>
    <col min="18" max="18" width="35.85546875" customWidth="1"/>
    <col min="19" max="19" width="255.7109375" bestFit="1" customWidth="1"/>
  </cols>
  <sheetData>
    <row r="1" spans="1:19" s="1" customFormat="1" ht="15" customHeight="1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1034</v>
      </c>
      <c r="I1" s="1" t="s">
        <v>302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thickTop="1" x14ac:dyDescent="0.25">
      <c r="A2" t="s">
        <v>19</v>
      </c>
      <c r="B2" t="s">
        <v>40</v>
      </c>
      <c r="C2" t="s">
        <v>21</v>
      </c>
      <c r="D2" t="s">
        <v>41</v>
      </c>
      <c r="E2" t="s">
        <v>23</v>
      </c>
      <c r="F2" t="str">
        <f t="shared" ref="F2:F7" si="0">"/code/"&amp;"NLG-"&amp;D2&amp;"/markov"</f>
        <v>/code/NLG-S2/markov</v>
      </c>
      <c r="G2" t="s">
        <v>1035</v>
      </c>
      <c r="H2">
        <v>4567.2609024040003</v>
      </c>
      <c r="I2" t="s">
        <v>303</v>
      </c>
      <c r="J2">
        <v>383.65043318099998</v>
      </c>
      <c r="K2">
        <v>5.5919999999999997E-3</v>
      </c>
      <c r="L2">
        <v>3.4629999999999999E-3</v>
      </c>
      <c r="M2">
        <v>32.5</v>
      </c>
      <c r="N2" t="s">
        <v>25</v>
      </c>
      <c r="O2" t="s">
        <v>25</v>
      </c>
      <c r="P2">
        <v>2.1299999999999999E-3</v>
      </c>
      <c r="Q2">
        <v>20</v>
      </c>
      <c r="R2" s="4" t="s">
        <v>911</v>
      </c>
      <c r="S2" t="s">
        <v>788</v>
      </c>
    </row>
    <row r="3" spans="1:19" ht="15" customHeight="1" x14ac:dyDescent="0.25">
      <c r="A3" t="s">
        <v>19</v>
      </c>
      <c r="B3" t="s">
        <v>40</v>
      </c>
      <c r="C3" t="s">
        <v>21</v>
      </c>
      <c r="D3" t="s">
        <v>41</v>
      </c>
      <c r="E3" t="s">
        <v>23</v>
      </c>
      <c r="F3" t="str">
        <f t="shared" si="0"/>
        <v>/code/NLG-S2/markov</v>
      </c>
      <c r="G3" t="s">
        <v>1035</v>
      </c>
      <c r="H3">
        <v>4567.2609024040003</v>
      </c>
      <c r="I3" t="s">
        <v>304</v>
      </c>
      <c r="J3">
        <v>377.636583535</v>
      </c>
      <c r="K3">
        <v>5.5050000000000003E-3</v>
      </c>
      <c r="L3">
        <v>3.4090000000000001E-3</v>
      </c>
      <c r="M3">
        <v>32.5</v>
      </c>
      <c r="N3" t="s">
        <v>25</v>
      </c>
      <c r="O3" t="s">
        <v>25</v>
      </c>
      <c r="P3">
        <v>2.0969999999999999E-3</v>
      </c>
      <c r="Q3">
        <v>20</v>
      </c>
      <c r="R3" s="4" t="s">
        <v>912</v>
      </c>
      <c r="S3" t="s">
        <v>789</v>
      </c>
    </row>
    <row r="4" spans="1:19" ht="15" customHeight="1" x14ac:dyDescent="0.25">
      <c r="A4" t="s">
        <v>19</v>
      </c>
      <c r="B4" t="s">
        <v>40</v>
      </c>
      <c r="C4" t="s">
        <v>21</v>
      </c>
      <c r="D4" t="s">
        <v>41</v>
      </c>
      <c r="E4" t="s">
        <v>23</v>
      </c>
      <c r="F4" t="str">
        <f t="shared" si="0"/>
        <v>/code/NLG-S2/markov</v>
      </c>
      <c r="G4" t="s">
        <v>1035</v>
      </c>
      <c r="H4">
        <v>4567.2609024040003</v>
      </c>
      <c r="I4" t="s">
        <v>305</v>
      </c>
      <c r="J4">
        <v>373.922019041</v>
      </c>
      <c r="K4">
        <v>5.45E-3</v>
      </c>
      <c r="L4">
        <v>3.375E-3</v>
      </c>
      <c r="M4">
        <v>32.5</v>
      </c>
      <c r="N4" t="s">
        <v>25</v>
      </c>
      <c r="O4" t="s">
        <v>25</v>
      </c>
      <c r="P4">
        <v>2.0760000000000002E-3</v>
      </c>
      <c r="Q4">
        <v>20</v>
      </c>
      <c r="R4" s="4" t="s">
        <v>913</v>
      </c>
      <c r="S4" t="s">
        <v>790</v>
      </c>
    </row>
    <row r="5" spans="1:19" ht="15" customHeight="1" x14ac:dyDescent="0.25">
      <c r="A5" t="s">
        <v>19</v>
      </c>
      <c r="B5" t="s">
        <v>40</v>
      </c>
      <c r="C5" t="s">
        <v>28</v>
      </c>
      <c r="D5" t="s">
        <v>41</v>
      </c>
      <c r="E5" t="s">
        <v>23</v>
      </c>
      <c r="F5" t="str">
        <f t="shared" si="0"/>
        <v>/code/NLG-S2/markov</v>
      </c>
      <c r="G5" t="s">
        <v>1035</v>
      </c>
      <c r="H5">
        <v>1977.0896353989999</v>
      </c>
      <c r="I5" t="s">
        <v>303</v>
      </c>
      <c r="J5">
        <v>188.50051623399901</v>
      </c>
      <c r="K5">
        <v>2.748E-3</v>
      </c>
      <c r="L5">
        <v>1.701E-3</v>
      </c>
      <c r="M5">
        <v>32.5</v>
      </c>
      <c r="N5" t="s">
        <v>25</v>
      </c>
      <c r="O5" t="s">
        <v>25</v>
      </c>
      <c r="P5">
        <v>1.0460000000000001E-3</v>
      </c>
      <c r="Q5">
        <v>20</v>
      </c>
      <c r="R5" s="4" t="s">
        <v>914</v>
      </c>
      <c r="S5" t="s">
        <v>791</v>
      </c>
    </row>
    <row r="6" spans="1:19" ht="15" customHeight="1" x14ac:dyDescent="0.25">
      <c r="A6" t="s">
        <v>19</v>
      </c>
      <c r="B6" t="s">
        <v>40</v>
      </c>
      <c r="C6" t="s">
        <v>28</v>
      </c>
      <c r="D6" t="s">
        <v>41</v>
      </c>
      <c r="E6" t="s">
        <v>23</v>
      </c>
      <c r="F6" t="str">
        <f t="shared" si="0"/>
        <v>/code/NLG-S2/markov</v>
      </c>
      <c r="G6" t="s">
        <v>1035</v>
      </c>
      <c r="H6">
        <v>1977.0896353989999</v>
      </c>
      <c r="I6" t="s">
        <v>304</v>
      </c>
      <c r="J6">
        <v>186.55857689000001</v>
      </c>
      <c r="K6">
        <v>2.7200000000000002E-3</v>
      </c>
      <c r="L6">
        <v>1.684E-3</v>
      </c>
      <c r="M6">
        <v>32.5</v>
      </c>
      <c r="N6" t="s">
        <v>25</v>
      </c>
      <c r="O6" t="s">
        <v>25</v>
      </c>
      <c r="P6">
        <v>1.036E-3</v>
      </c>
      <c r="Q6">
        <v>20</v>
      </c>
      <c r="R6" s="4" t="s">
        <v>915</v>
      </c>
      <c r="S6" t="s">
        <v>792</v>
      </c>
    </row>
    <row r="7" spans="1:19" ht="15" customHeight="1" x14ac:dyDescent="0.25">
      <c r="A7" t="s">
        <v>19</v>
      </c>
      <c r="B7" t="s">
        <v>40</v>
      </c>
      <c r="C7" t="s">
        <v>28</v>
      </c>
      <c r="D7" t="s">
        <v>41</v>
      </c>
      <c r="E7" t="s">
        <v>23</v>
      </c>
      <c r="F7" t="str">
        <f t="shared" si="0"/>
        <v>/code/NLG-S2/markov</v>
      </c>
      <c r="G7" t="s">
        <v>1035</v>
      </c>
      <c r="H7">
        <v>1977.0896353989999</v>
      </c>
      <c r="I7" t="s">
        <v>305</v>
      </c>
      <c r="J7">
        <v>188.25841747199999</v>
      </c>
      <c r="K7">
        <v>2.745E-3</v>
      </c>
      <c r="L7">
        <v>1.699E-3</v>
      </c>
      <c r="M7">
        <v>32.5</v>
      </c>
      <c r="N7" t="s">
        <v>25</v>
      </c>
      <c r="O7" t="s">
        <v>25</v>
      </c>
      <c r="P7">
        <v>1.0449999999999999E-3</v>
      </c>
      <c r="Q7">
        <v>20</v>
      </c>
      <c r="R7" s="4" t="s">
        <v>916</v>
      </c>
      <c r="S7" t="s">
        <v>793</v>
      </c>
    </row>
    <row r="8" spans="1:19" ht="15" customHeight="1" x14ac:dyDescent="0.25">
      <c r="A8" t="s">
        <v>19</v>
      </c>
      <c r="B8" t="s">
        <v>40</v>
      </c>
      <c r="C8" t="s">
        <v>31</v>
      </c>
      <c r="D8" t="s">
        <v>41</v>
      </c>
      <c r="E8" t="s">
        <v>23</v>
      </c>
      <c r="F8" t="str">
        <f>"/code/"&amp;"NLG-"&amp;D8&amp;"/lstm"</f>
        <v>/code/NLG-S2/lstm</v>
      </c>
      <c r="G8" t="s">
        <v>1035</v>
      </c>
      <c r="H8">
        <v>237867.69753862199</v>
      </c>
      <c r="I8" t="s">
        <v>303</v>
      </c>
      <c r="J8">
        <v>23626.924858049999</v>
      </c>
      <c r="K8">
        <v>0.34454600000000002</v>
      </c>
      <c r="L8">
        <v>0.21329300000000001</v>
      </c>
      <c r="M8">
        <v>32.5</v>
      </c>
      <c r="N8" t="s">
        <v>25</v>
      </c>
      <c r="O8" t="s">
        <v>25</v>
      </c>
      <c r="P8">
        <v>0.13125300000000001</v>
      </c>
      <c r="Q8">
        <v>20</v>
      </c>
      <c r="R8" s="4" t="s">
        <v>917</v>
      </c>
      <c r="S8" t="s">
        <v>794</v>
      </c>
    </row>
    <row r="9" spans="1:19" ht="15" customHeight="1" x14ac:dyDescent="0.25">
      <c r="A9" t="s">
        <v>19</v>
      </c>
      <c r="B9" t="s">
        <v>40</v>
      </c>
      <c r="C9" t="s">
        <v>31</v>
      </c>
      <c r="D9" t="s">
        <v>41</v>
      </c>
      <c r="E9" t="s">
        <v>23</v>
      </c>
      <c r="F9" t="str">
        <f>"/code/"&amp;"NLG-"&amp;D9&amp;"/lstm"</f>
        <v>/code/NLG-S2/lstm</v>
      </c>
      <c r="G9" t="s">
        <v>1035</v>
      </c>
      <c r="H9">
        <v>237867.69753862199</v>
      </c>
      <c r="I9" t="s">
        <v>304</v>
      </c>
      <c r="J9">
        <v>23910.924934594899</v>
      </c>
      <c r="K9">
        <v>0.34868700000000002</v>
      </c>
      <c r="L9">
        <v>0.21585699999999999</v>
      </c>
      <c r="M9">
        <v>32.5</v>
      </c>
      <c r="N9" t="s">
        <v>25</v>
      </c>
      <c r="O9" t="s">
        <v>25</v>
      </c>
      <c r="P9">
        <v>0.13283</v>
      </c>
      <c r="Q9">
        <v>20</v>
      </c>
      <c r="R9" s="4" t="s">
        <v>918</v>
      </c>
      <c r="S9" t="s">
        <v>795</v>
      </c>
    </row>
    <row r="10" spans="1:19" ht="15" customHeight="1" x14ac:dyDescent="0.25">
      <c r="A10" t="s">
        <v>19</v>
      </c>
      <c r="B10" t="s">
        <v>40</v>
      </c>
      <c r="C10" t="s">
        <v>31</v>
      </c>
      <c r="D10" t="s">
        <v>41</v>
      </c>
      <c r="E10" t="s">
        <v>23</v>
      </c>
      <c r="F10" t="str">
        <f>"/code/"&amp;"NLG-"&amp;D10&amp;"/lstm"</f>
        <v>/code/NLG-S2/lstm</v>
      </c>
      <c r="G10" t="s">
        <v>1035</v>
      </c>
      <c r="H10">
        <v>237867.69753862199</v>
      </c>
      <c r="I10" t="s">
        <v>305</v>
      </c>
      <c r="J10">
        <v>23874.543839582999</v>
      </c>
      <c r="K10">
        <v>0.34815699999999999</v>
      </c>
      <c r="L10">
        <v>0.215528</v>
      </c>
      <c r="M10">
        <v>32.5</v>
      </c>
      <c r="N10" t="s">
        <v>25</v>
      </c>
      <c r="O10" t="s">
        <v>25</v>
      </c>
      <c r="P10">
        <v>0.132628</v>
      </c>
      <c r="Q10">
        <v>20</v>
      </c>
      <c r="R10" s="4" t="s">
        <v>919</v>
      </c>
      <c r="S10" t="s">
        <v>796</v>
      </c>
    </row>
    <row r="11" spans="1:19" ht="15" customHeight="1" x14ac:dyDescent="0.25">
      <c r="A11" t="s">
        <v>19</v>
      </c>
      <c r="B11" t="s">
        <v>40</v>
      </c>
      <c r="C11" t="s">
        <v>31</v>
      </c>
      <c r="D11" t="s">
        <v>41</v>
      </c>
      <c r="E11" t="s">
        <v>48</v>
      </c>
      <c r="F11" t="s">
        <v>25</v>
      </c>
      <c r="G11" t="s">
        <v>25</v>
      </c>
      <c r="H11" t="s">
        <v>25</v>
      </c>
      <c r="J11" t="s">
        <v>25</v>
      </c>
      <c r="K11" t="s">
        <v>25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25</v>
      </c>
    </row>
    <row r="12" spans="1:19" ht="15" customHeight="1" x14ac:dyDescent="0.25">
      <c r="A12" t="s">
        <v>19</v>
      </c>
      <c r="B12" t="s">
        <v>40</v>
      </c>
      <c r="C12" t="s">
        <v>31</v>
      </c>
      <c r="D12" t="s">
        <v>41</v>
      </c>
      <c r="E12" t="s">
        <v>48</v>
      </c>
      <c r="F12" t="s">
        <v>25</v>
      </c>
      <c r="G12" t="s">
        <v>25</v>
      </c>
      <c r="H12" t="s">
        <v>25</v>
      </c>
      <c r="J12" t="s">
        <v>25</v>
      </c>
      <c r="K12" t="s">
        <v>25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25</v>
      </c>
    </row>
    <row r="13" spans="1:19" ht="15" customHeight="1" x14ac:dyDescent="0.25">
      <c r="A13" t="s">
        <v>19</v>
      </c>
      <c r="B13" t="s">
        <v>40</v>
      </c>
      <c r="C13" t="s">
        <v>31</v>
      </c>
      <c r="D13" t="s">
        <v>41</v>
      </c>
      <c r="E13" t="s">
        <v>48</v>
      </c>
      <c r="F13" t="s">
        <v>25</v>
      </c>
      <c r="G13" t="s">
        <v>25</v>
      </c>
      <c r="H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25</v>
      </c>
    </row>
    <row r="14" spans="1:19" ht="15" customHeight="1" x14ac:dyDescent="0.25">
      <c r="A14" t="s">
        <v>19</v>
      </c>
      <c r="B14" t="s">
        <v>40</v>
      </c>
      <c r="C14" t="s">
        <v>34</v>
      </c>
      <c r="D14" t="s">
        <v>41</v>
      </c>
      <c r="E14" t="s">
        <v>23</v>
      </c>
      <c r="F14" t="str">
        <f>"/code/"&amp;"NLG-"&amp;D14&amp;"/gpt"</f>
        <v>/code/NLG-S2/gpt</v>
      </c>
      <c r="G14" t="s">
        <v>1035</v>
      </c>
      <c r="H14">
        <v>16105.576718984999</v>
      </c>
      <c r="I14" t="s">
        <v>303</v>
      </c>
      <c r="J14">
        <v>1577.9401793859899</v>
      </c>
      <c r="K14">
        <v>2.3011E-2</v>
      </c>
      <c r="L14">
        <v>1.4245000000000001E-2</v>
      </c>
      <c r="M14">
        <v>32.5</v>
      </c>
      <c r="N14" t="s">
        <v>25</v>
      </c>
      <c r="O14" t="s">
        <v>25</v>
      </c>
      <c r="P14">
        <v>8.7659999999999995E-3</v>
      </c>
      <c r="Q14">
        <v>20</v>
      </c>
      <c r="R14" s="4" t="s">
        <v>920</v>
      </c>
      <c r="S14" t="s">
        <v>797</v>
      </c>
    </row>
    <row r="15" spans="1:19" ht="15" customHeight="1" x14ac:dyDescent="0.25">
      <c r="A15" t="s">
        <v>19</v>
      </c>
      <c r="B15" t="s">
        <v>40</v>
      </c>
      <c r="C15" t="s">
        <v>34</v>
      </c>
      <c r="D15" t="s">
        <v>41</v>
      </c>
      <c r="E15" t="s">
        <v>23</v>
      </c>
      <c r="F15" t="str">
        <f>"/code/"&amp;"NLG-"&amp;D15&amp;"/gpt"</f>
        <v>/code/NLG-S2/gpt</v>
      </c>
      <c r="G15" t="s">
        <v>1035</v>
      </c>
      <c r="H15">
        <v>16105.576718984999</v>
      </c>
      <c r="I15" t="s">
        <v>304</v>
      </c>
      <c r="J15">
        <v>1612.7485145959999</v>
      </c>
      <c r="K15">
        <v>2.3519000000000002E-2</v>
      </c>
      <c r="L15">
        <v>1.4559000000000001E-2</v>
      </c>
      <c r="M15">
        <v>32.5</v>
      </c>
      <c r="N15" t="s">
        <v>25</v>
      </c>
      <c r="O15" t="s">
        <v>25</v>
      </c>
      <c r="P15">
        <v>8.9589999999999999E-3</v>
      </c>
      <c r="Q15">
        <v>20</v>
      </c>
      <c r="R15" s="4" t="s">
        <v>921</v>
      </c>
      <c r="S15" t="s">
        <v>798</v>
      </c>
    </row>
    <row r="16" spans="1:19" ht="15" customHeight="1" x14ac:dyDescent="0.25">
      <c r="A16" t="s">
        <v>19</v>
      </c>
      <c r="B16" t="s">
        <v>40</v>
      </c>
      <c r="C16" t="s">
        <v>34</v>
      </c>
      <c r="D16" t="s">
        <v>41</v>
      </c>
      <c r="E16" t="s">
        <v>23</v>
      </c>
      <c r="F16" t="str">
        <f>"/code/"&amp;"NLG-"&amp;D16&amp;"/gpt"</f>
        <v>/code/NLG-S2/gpt</v>
      </c>
      <c r="G16" t="s">
        <v>1035</v>
      </c>
      <c r="H16">
        <v>16105.576718984999</v>
      </c>
      <c r="I16" t="s">
        <v>305</v>
      </c>
      <c r="J16">
        <v>1590.26362390299</v>
      </c>
      <c r="K16">
        <v>2.3191E-2</v>
      </c>
      <c r="L16">
        <v>1.4357E-2</v>
      </c>
      <c r="M16">
        <v>32.5</v>
      </c>
      <c r="N16" t="s">
        <v>25</v>
      </c>
      <c r="O16" t="s">
        <v>25</v>
      </c>
      <c r="P16">
        <v>8.8350000000000008E-3</v>
      </c>
      <c r="Q16">
        <v>20</v>
      </c>
      <c r="R16" s="4" t="s">
        <v>922</v>
      </c>
      <c r="S16" t="s">
        <v>799</v>
      </c>
    </row>
    <row r="17" spans="1:19" ht="15" customHeight="1" x14ac:dyDescent="0.25">
      <c r="A17" t="s">
        <v>19</v>
      </c>
      <c r="B17" t="s">
        <v>40</v>
      </c>
      <c r="C17" t="s">
        <v>34</v>
      </c>
      <c r="D17" t="s">
        <v>41</v>
      </c>
      <c r="E17" t="s">
        <v>48</v>
      </c>
      <c r="F17" t="s">
        <v>25</v>
      </c>
      <c r="G17" t="s">
        <v>25</v>
      </c>
      <c r="H17" t="s">
        <v>25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25</v>
      </c>
    </row>
    <row r="18" spans="1:19" ht="15" customHeight="1" x14ac:dyDescent="0.25">
      <c r="A18" t="s">
        <v>19</v>
      </c>
      <c r="B18" t="s">
        <v>40</v>
      </c>
      <c r="C18" t="s">
        <v>34</v>
      </c>
      <c r="D18" t="s">
        <v>41</v>
      </c>
      <c r="E18" t="s">
        <v>48</v>
      </c>
      <c r="F18" t="s">
        <v>25</v>
      </c>
      <c r="G18" t="s">
        <v>25</v>
      </c>
      <c r="H18" t="s">
        <v>25</v>
      </c>
      <c r="J18" t="s">
        <v>25</v>
      </c>
      <c r="K18" t="s">
        <v>25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25</v>
      </c>
    </row>
    <row r="19" spans="1:19" ht="15" customHeight="1" x14ac:dyDescent="0.25">
      <c r="A19" t="s">
        <v>19</v>
      </c>
      <c r="B19" t="s">
        <v>40</v>
      </c>
      <c r="C19" t="s">
        <v>34</v>
      </c>
      <c r="D19" t="s">
        <v>41</v>
      </c>
      <c r="E19" t="s">
        <v>48</v>
      </c>
      <c r="F19" t="s">
        <v>25</v>
      </c>
      <c r="G19" t="s">
        <v>25</v>
      </c>
      <c r="H19" t="s">
        <v>25</v>
      </c>
      <c r="J19" t="s">
        <v>25</v>
      </c>
      <c r="K19" t="s">
        <v>25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25</v>
      </c>
    </row>
    <row r="20" spans="1:19" ht="15" customHeight="1" x14ac:dyDescent="0.25">
      <c r="A20" t="s">
        <v>19</v>
      </c>
      <c r="B20" t="s">
        <v>40</v>
      </c>
      <c r="C20" t="s">
        <v>37</v>
      </c>
      <c r="D20" t="s">
        <v>41</v>
      </c>
      <c r="E20" t="s">
        <v>23</v>
      </c>
      <c r="F20" t="str">
        <f>"/code/"&amp;"NLG-"&amp;D20&amp;"/gptfine"</f>
        <v>/code/NLG-S2/gptfine</v>
      </c>
      <c r="G20" t="s">
        <v>1035</v>
      </c>
      <c r="H20">
        <v>20598.329889625002</v>
      </c>
      <c r="I20" t="s">
        <v>303</v>
      </c>
      <c r="J20">
        <v>1822.4114034079901</v>
      </c>
      <c r="K20">
        <v>2.6575999999999999E-2</v>
      </c>
      <c r="L20">
        <v>1.6452000000000001E-2</v>
      </c>
      <c r="M20">
        <v>32.5</v>
      </c>
      <c r="N20" t="s">
        <v>25</v>
      </c>
      <c r="O20" t="s">
        <v>25</v>
      </c>
      <c r="P20">
        <v>1.0123999999999999E-2</v>
      </c>
      <c r="Q20">
        <v>20</v>
      </c>
      <c r="R20" s="4" t="s">
        <v>923</v>
      </c>
      <c r="S20" t="s">
        <v>800</v>
      </c>
    </row>
    <row r="21" spans="1:19" ht="15" customHeight="1" x14ac:dyDescent="0.25">
      <c r="A21" t="s">
        <v>19</v>
      </c>
      <c r="B21" t="s">
        <v>40</v>
      </c>
      <c r="C21" t="s">
        <v>37</v>
      </c>
      <c r="D21" t="s">
        <v>41</v>
      </c>
      <c r="E21" t="s">
        <v>23</v>
      </c>
      <c r="F21" t="str">
        <f>"/code/"&amp;"NLG-"&amp;D21&amp;"/gptfine"</f>
        <v>/code/NLG-S2/gptfine</v>
      </c>
      <c r="G21" t="s">
        <v>1035</v>
      </c>
      <c r="H21">
        <v>20598.329889625002</v>
      </c>
      <c r="I21" t="s">
        <v>304</v>
      </c>
      <c r="J21">
        <v>1797.4042612359899</v>
      </c>
      <c r="K21">
        <v>2.6211999999999999E-2</v>
      </c>
      <c r="L21">
        <v>1.6226000000000001E-2</v>
      </c>
      <c r="M21">
        <v>32.5</v>
      </c>
      <c r="N21" t="s">
        <v>25</v>
      </c>
      <c r="O21" t="s">
        <v>25</v>
      </c>
      <c r="P21">
        <v>9.9850000000000008E-3</v>
      </c>
      <c r="Q21">
        <v>20</v>
      </c>
      <c r="R21" s="4" t="s">
        <v>924</v>
      </c>
      <c r="S21" t="s">
        <v>801</v>
      </c>
    </row>
    <row r="22" spans="1:19" ht="15" customHeight="1" x14ac:dyDescent="0.25">
      <c r="A22" t="s">
        <v>19</v>
      </c>
      <c r="B22" t="s">
        <v>40</v>
      </c>
      <c r="C22" t="s">
        <v>37</v>
      </c>
      <c r="D22" t="s">
        <v>41</v>
      </c>
      <c r="E22" t="s">
        <v>23</v>
      </c>
      <c r="F22" t="str">
        <f>"/code/"&amp;"NLG-"&amp;D22&amp;"/gptfine"</f>
        <v>/code/NLG-S2/gptfine</v>
      </c>
      <c r="G22" t="s">
        <v>1035</v>
      </c>
      <c r="H22">
        <v>20598.329889625002</v>
      </c>
      <c r="I22" t="s">
        <v>305</v>
      </c>
      <c r="J22">
        <v>1785.7585354509999</v>
      </c>
      <c r="K22">
        <v>2.6041999999999999E-2</v>
      </c>
      <c r="L22">
        <v>1.6121E-2</v>
      </c>
      <c r="M22">
        <v>32.5</v>
      </c>
      <c r="N22" t="s">
        <v>25</v>
      </c>
      <c r="O22" t="s">
        <v>25</v>
      </c>
      <c r="P22">
        <v>9.9209999999999993E-3</v>
      </c>
      <c r="Q22">
        <v>20</v>
      </c>
      <c r="R22" s="4" t="s">
        <v>925</v>
      </c>
      <c r="S22" t="s">
        <v>802</v>
      </c>
    </row>
    <row r="23" spans="1:19" ht="15" customHeight="1" x14ac:dyDescent="0.25">
      <c r="A23" t="s">
        <v>19</v>
      </c>
      <c r="B23" t="s">
        <v>40</v>
      </c>
      <c r="C23" t="s">
        <v>37</v>
      </c>
      <c r="D23" t="s">
        <v>41</v>
      </c>
      <c r="E23" t="s">
        <v>48</v>
      </c>
      <c r="F23" t="s">
        <v>25</v>
      </c>
      <c r="G23" t="s">
        <v>25</v>
      </c>
      <c r="H23" t="s">
        <v>25</v>
      </c>
      <c r="J23" t="s">
        <v>25</v>
      </c>
      <c r="K23" t="s">
        <v>25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25</v>
      </c>
    </row>
    <row r="24" spans="1:19" ht="15" customHeight="1" x14ac:dyDescent="0.25">
      <c r="A24" t="s">
        <v>19</v>
      </c>
      <c r="B24" t="s">
        <v>40</v>
      </c>
      <c r="C24" t="s">
        <v>37</v>
      </c>
      <c r="D24" t="s">
        <v>41</v>
      </c>
      <c r="E24" t="s">
        <v>48</v>
      </c>
      <c r="F24" t="s">
        <v>25</v>
      </c>
      <c r="G24" t="s">
        <v>25</v>
      </c>
      <c r="H24" t="s">
        <v>25</v>
      </c>
      <c r="J24" t="s">
        <v>25</v>
      </c>
      <c r="K24" t="s">
        <v>25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25</v>
      </c>
    </row>
    <row r="25" spans="1:19" ht="15" customHeight="1" x14ac:dyDescent="0.25">
      <c r="A25" t="s">
        <v>19</v>
      </c>
      <c r="B25" t="s">
        <v>40</v>
      </c>
      <c r="C25" t="s">
        <v>37</v>
      </c>
      <c r="D25" t="s">
        <v>41</v>
      </c>
      <c r="E25" t="s">
        <v>48</v>
      </c>
      <c r="F25" t="s">
        <v>25</v>
      </c>
      <c r="G25" t="s">
        <v>25</v>
      </c>
      <c r="H25" t="s">
        <v>25</v>
      </c>
      <c r="J25" t="s">
        <v>25</v>
      </c>
      <c r="K25" t="s">
        <v>25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25</v>
      </c>
    </row>
    <row r="26" spans="1:19" ht="15" customHeight="1" x14ac:dyDescent="0.25"/>
    <row r="27" spans="1:19" ht="15" customHeight="1" x14ac:dyDescent="0.25"/>
    <row r="28" spans="1:19" ht="15" customHeight="1" x14ac:dyDescent="0.25">
      <c r="A28" t="s">
        <v>71</v>
      </c>
      <c r="B28" t="s">
        <v>92</v>
      </c>
      <c r="C28" t="s">
        <v>73</v>
      </c>
      <c r="D28" t="s">
        <v>41</v>
      </c>
      <c r="E28" t="s">
        <v>23</v>
      </c>
      <c r="F28" t="str">
        <f t="shared" ref="F28" si="1">"/code/"&amp;"TS1-"&amp;D28</f>
        <v>/code/TS1-S2</v>
      </c>
      <c r="G28" t="s">
        <v>1036</v>
      </c>
      <c r="H28">
        <v>326.54838716499899</v>
      </c>
      <c r="I28" t="s">
        <v>303</v>
      </c>
      <c r="J28">
        <v>55.336740135000497</v>
      </c>
      <c r="K28">
        <v>8.0699999999999999E-4</v>
      </c>
      <c r="L28">
        <v>4.9899999999999999E-4</v>
      </c>
      <c r="M28">
        <v>32.5</v>
      </c>
      <c r="N28" t="s">
        <v>25</v>
      </c>
      <c r="O28" t="s">
        <v>25</v>
      </c>
      <c r="P28">
        <v>3.0699999999999998E-4</v>
      </c>
      <c r="Q28">
        <v>20</v>
      </c>
      <c r="R28" s="4" t="s">
        <v>926</v>
      </c>
      <c r="S28" t="s">
        <v>803</v>
      </c>
    </row>
    <row r="29" spans="1:19" ht="15" customHeight="1" x14ac:dyDescent="0.25">
      <c r="A29" t="s">
        <v>71</v>
      </c>
      <c r="B29" t="s">
        <v>92</v>
      </c>
      <c r="C29" t="s">
        <v>73</v>
      </c>
      <c r="D29" t="s">
        <v>41</v>
      </c>
      <c r="E29" t="s">
        <v>23</v>
      </c>
      <c r="F29" t="str">
        <f t="shared" ref="F29" si="2">"/code/"&amp;"TS1-"&amp;D29</f>
        <v>/code/TS1-S2</v>
      </c>
      <c r="G29" t="s">
        <v>1036</v>
      </c>
      <c r="H29">
        <v>326.54838716499899</v>
      </c>
      <c r="I29" t="s">
        <v>304</v>
      </c>
      <c r="J29">
        <v>54.691813016001099</v>
      </c>
      <c r="K29">
        <v>7.9699999999999997E-4</v>
      </c>
      <c r="L29">
        <v>4.9399999999999997E-4</v>
      </c>
      <c r="M29">
        <v>32.5</v>
      </c>
      <c r="N29" t="s">
        <v>25</v>
      </c>
      <c r="O29" t="s">
        <v>25</v>
      </c>
      <c r="P29">
        <v>3.0400000000000002E-4</v>
      </c>
      <c r="Q29">
        <v>20</v>
      </c>
      <c r="R29" s="4" t="s">
        <v>927</v>
      </c>
      <c r="S29" t="s">
        <v>804</v>
      </c>
    </row>
    <row r="30" spans="1:19" ht="15" customHeight="1" x14ac:dyDescent="0.25">
      <c r="A30" t="s">
        <v>71</v>
      </c>
      <c r="B30" t="s">
        <v>92</v>
      </c>
      <c r="C30" t="s">
        <v>73</v>
      </c>
      <c r="D30" t="s">
        <v>41</v>
      </c>
      <c r="E30" t="s">
        <v>23</v>
      </c>
      <c r="F30" t="str">
        <f t="shared" ref="F30:F54" si="3">"/code/"&amp;"TS1-"&amp;D30</f>
        <v>/code/TS1-S2</v>
      </c>
      <c r="G30" t="s">
        <v>1036</v>
      </c>
      <c r="H30">
        <v>326.54838716499899</v>
      </c>
      <c r="I30" t="s">
        <v>305</v>
      </c>
      <c r="J30">
        <v>54.7316296980025</v>
      </c>
      <c r="K30">
        <v>7.9799999999999999E-4</v>
      </c>
      <c r="L30">
        <v>4.9399999999999997E-4</v>
      </c>
      <c r="M30">
        <v>32.5</v>
      </c>
      <c r="N30" t="s">
        <v>25</v>
      </c>
      <c r="O30" t="s">
        <v>25</v>
      </c>
      <c r="P30">
        <v>3.0400000000000002E-4</v>
      </c>
      <c r="Q30">
        <v>20</v>
      </c>
      <c r="R30" s="4" t="s">
        <v>928</v>
      </c>
      <c r="S30" t="s">
        <v>805</v>
      </c>
    </row>
    <row r="31" spans="1:19" ht="15" customHeight="1" x14ac:dyDescent="0.25">
      <c r="A31" t="s">
        <v>71</v>
      </c>
      <c r="B31" t="s">
        <v>92</v>
      </c>
      <c r="C31" t="s">
        <v>77</v>
      </c>
      <c r="D31" t="s">
        <v>41</v>
      </c>
      <c r="E31" t="s">
        <v>23</v>
      </c>
      <c r="F31" t="str">
        <f t="shared" si="3"/>
        <v>/code/TS1-S2</v>
      </c>
      <c r="G31" t="s">
        <v>1036</v>
      </c>
      <c r="H31">
        <v>331.02125157599897</v>
      </c>
      <c r="I31" t="s">
        <v>303</v>
      </c>
      <c r="J31">
        <v>52.795476448998599</v>
      </c>
      <c r="K31">
        <v>7.6999999999999996E-4</v>
      </c>
      <c r="L31">
        <v>4.7699999999999999E-4</v>
      </c>
      <c r="M31">
        <v>32.5</v>
      </c>
      <c r="N31" t="s">
        <v>25</v>
      </c>
      <c r="O31" t="s">
        <v>25</v>
      </c>
      <c r="P31">
        <v>2.9300000000000002E-4</v>
      </c>
      <c r="Q31">
        <v>20</v>
      </c>
      <c r="R31" s="4" t="s">
        <v>929</v>
      </c>
      <c r="S31" t="s">
        <v>806</v>
      </c>
    </row>
    <row r="32" spans="1:19" ht="15" customHeight="1" x14ac:dyDescent="0.25">
      <c r="A32" t="s">
        <v>71</v>
      </c>
      <c r="B32" t="s">
        <v>92</v>
      </c>
      <c r="C32" t="s">
        <v>77</v>
      </c>
      <c r="D32" t="s">
        <v>41</v>
      </c>
      <c r="E32" t="s">
        <v>23</v>
      </c>
      <c r="F32" t="str">
        <f t="shared" ref="F32" si="4">"/code/"&amp;"TS1-"&amp;D32</f>
        <v>/code/TS1-S2</v>
      </c>
      <c r="G32" t="s">
        <v>1036</v>
      </c>
      <c r="H32">
        <v>331.02125157599897</v>
      </c>
      <c r="I32" t="s">
        <v>304</v>
      </c>
      <c r="J32">
        <v>53.6533893550004</v>
      </c>
      <c r="K32">
        <v>7.8100000000000001E-4</v>
      </c>
      <c r="L32">
        <v>4.84E-4</v>
      </c>
      <c r="M32">
        <v>32.5</v>
      </c>
      <c r="N32" t="s">
        <v>25</v>
      </c>
      <c r="O32" t="s">
        <v>25</v>
      </c>
      <c r="P32">
        <v>2.9799999999999998E-4</v>
      </c>
      <c r="Q32">
        <v>20</v>
      </c>
      <c r="R32" s="4" t="s">
        <v>930</v>
      </c>
      <c r="S32" t="s">
        <v>807</v>
      </c>
    </row>
    <row r="33" spans="1:19" ht="15" customHeight="1" x14ac:dyDescent="0.25">
      <c r="A33" t="s">
        <v>71</v>
      </c>
      <c r="B33" t="s">
        <v>92</v>
      </c>
      <c r="C33" t="s">
        <v>77</v>
      </c>
      <c r="D33" t="s">
        <v>41</v>
      </c>
      <c r="E33" t="s">
        <v>23</v>
      </c>
      <c r="F33" t="str">
        <f t="shared" si="3"/>
        <v>/code/TS1-S2</v>
      </c>
      <c r="G33" t="s">
        <v>1036</v>
      </c>
      <c r="H33">
        <v>331.02125157599897</v>
      </c>
      <c r="I33" t="s">
        <v>305</v>
      </c>
      <c r="J33">
        <v>55.327088925001497</v>
      </c>
      <c r="K33">
        <v>8.0599999999999997E-4</v>
      </c>
      <c r="L33">
        <v>4.9899999999999999E-4</v>
      </c>
      <c r="M33">
        <v>32.5</v>
      </c>
      <c r="N33" t="s">
        <v>25</v>
      </c>
      <c r="O33" t="s">
        <v>25</v>
      </c>
      <c r="P33">
        <v>3.0699999999999998E-4</v>
      </c>
      <c r="Q33">
        <v>20</v>
      </c>
      <c r="R33" s="4" t="s">
        <v>931</v>
      </c>
      <c r="S33" t="s">
        <v>808</v>
      </c>
    </row>
    <row r="34" spans="1:19" ht="15" customHeight="1" x14ac:dyDescent="0.25">
      <c r="A34" t="s">
        <v>71</v>
      </c>
      <c r="B34" t="s">
        <v>92</v>
      </c>
      <c r="C34" t="s">
        <v>80</v>
      </c>
      <c r="D34" t="s">
        <v>41</v>
      </c>
      <c r="E34" t="s">
        <v>23</v>
      </c>
      <c r="F34" t="str">
        <f t="shared" si="3"/>
        <v>/code/TS1-S2</v>
      </c>
      <c r="G34" t="s">
        <v>1036</v>
      </c>
      <c r="H34">
        <v>5982.8164165639901</v>
      </c>
      <c r="I34" t="s">
        <v>303</v>
      </c>
      <c r="J34">
        <v>581.370173037001</v>
      </c>
      <c r="K34">
        <v>8.4790000000000004E-3</v>
      </c>
      <c r="L34">
        <v>5.2490000000000002E-3</v>
      </c>
      <c r="M34">
        <v>32.5</v>
      </c>
      <c r="N34" t="s">
        <v>25</v>
      </c>
      <c r="O34" t="s">
        <v>25</v>
      </c>
      <c r="P34">
        <v>3.2299999999999998E-3</v>
      </c>
      <c r="Q34">
        <v>20</v>
      </c>
      <c r="R34" s="4" t="s">
        <v>932</v>
      </c>
      <c r="S34" t="s">
        <v>899</v>
      </c>
    </row>
    <row r="35" spans="1:19" ht="15" customHeight="1" x14ac:dyDescent="0.25">
      <c r="A35" t="s">
        <v>71</v>
      </c>
      <c r="B35" t="s">
        <v>92</v>
      </c>
      <c r="C35" t="s">
        <v>80</v>
      </c>
      <c r="D35" t="s">
        <v>41</v>
      </c>
      <c r="E35" t="s">
        <v>23</v>
      </c>
      <c r="F35" t="str">
        <f t="shared" ref="F35" si="5">"/code/"&amp;"TS1-"&amp;D35</f>
        <v>/code/TS1-S2</v>
      </c>
      <c r="G35" t="s">
        <v>1036</v>
      </c>
      <c r="H35">
        <v>5982.8164165639901</v>
      </c>
      <c r="I35" t="s">
        <v>304</v>
      </c>
      <c r="J35">
        <v>585.96547976099805</v>
      </c>
      <c r="K35">
        <v>8.5459999999999998E-3</v>
      </c>
      <c r="L35">
        <v>5.2900000000000004E-3</v>
      </c>
      <c r="M35">
        <v>32.5</v>
      </c>
      <c r="N35" t="s">
        <v>25</v>
      </c>
      <c r="O35" t="s">
        <v>25</v>
      </c>
      <c r="P35">
        <v>3.2550000000000001E-3</v>
      </c>
      <c r="Q35">
        <v>20</v>
      </c>
      <c r="R35" s="4" t="s">
        <v>933</v>
      </c>
      <c r="S35" t="s">
        <v>900</v>
      </c>
    </row>
    <row r="36" spans="1:19" ht="15" customHeight="1" x14ac:dyDescent="0.25">
      <c r="A36" t="s">
        <v>71</v>
      </c>
      <c r="B36" t="s">
        <v>92</v>
      </c>
      <c r="C36" t="s">
        <v>80</v>
      </c>
      <c r="D36" t="s">
        <v>41</v>
      </c>
      <c r="E36" t="s">
        <v>23</v>
      </c>
      <c r="F36" t="str">
        <f t="shared" si="3"/>
        <v>/code/TS1-S2</v>
      </c>
      <c r="G36" t="s">
        <v>1036</v>
      </c>
      <c r="H36">
        <v>5982.8164165639901</v>
      </c>
      <c r="I36" t="s">
        <v>305</v>
      </c>
      <c r="J36">
        <v>580.46672795700204</v>
      </c>
      <c r="K36">
        <v>8.4659999999999996E-3</v>
      </c>
      <c r="L36">
        <v>5.241E-3</v>
      </c>
      <c r="M36">
        <v>32.5</v>
      </c>
      <c r="N36" t="s">
        <v>25</v>
      </c>
      <c r="O36" t="s">
        <v>25</v>
      </c>
      <c r="P36">
        <v>3.225E-3</v>
      </c>
      <c r="Q36">
        <v>20</v>
      </c>
      <c r="R36" s="4" t="s">
        <v>934</v>
      </c>
      <c r="S36" t="s">
        <v>901</v>
      </c>
    </row>
    <row r="37" spans="1:19" ht="15" customHeight="1" x14ac:dyDescent="0.25">
      <c r="A37" t="s">
        <v>71</v>
      </c>
      <c r="B37" t="s">
        <v>92</v>
      </c>
      <c r="C37" t="s">
        <v>80</v>
      </c>
      <c r="D37" t="s">
        <v>41</v>
      </c>
      <c r="E37" t="s">
        <v>48</v>
      </c>
      <c r="F37" t="s">
        <v>25</v>
      </c>
      <c r="G37" t="s">
        <v>25</v>
      </c>
      <c r="H37" t="s">
        <v>25</v>
      </c>
      <c r="J37" t="s">
        <v>25</v>
      </c>
      <c r="K37" t="s">
        <v>25</v>
      </c>
      <c r="L37" t="s">
        <v>25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</row>
    <row r="38" spans="1:19" ht="15" customHeight="1" x14ac:dyDescent="0.25">
      <c r="A38" t="s">
        <v>71</v>
      </c>
      <c r="B38" t="s">
        <v>92</v>
      </c>
      <c r="C38" t="s">
        <v>80</v>
      </c>
      <c r="D38" t="s">
        <v>41</v>
      </c>
      <c r="E38" t="s">
        <v>48</v>
      </c>
      <c r="F38" t="s">
        <v>25</v>
      </c>
      <c r="G38" t="s">
        <v>25</v>
      </c>
      <c r="H38" t="s">
        <v>25</v>
      </c>
      <c r="J38" t="s">
        <v>25</v>
      </c>
      <c r="K38" t="s">
        <v>25</v>
      </c>
      <c r="L38" t="s">
        <v>25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</row>
    <row r="39" spans="1:19" ht="15" customHeight="1" x14ac:dyDescent="0.25">
      <c r="A39" t="s">
        <v>71</v>
      </c>
      <c r="B39" t="s">
        <v>92</v>
      </c>
      <c r="C39" t="s">
        <v>80</v>
      </c>
      <c r="D39" t="s">
        <v>41</v>
      </c>
      <c r="E39" t="s">
        <v>48</v>
      </c>
      <c r="F39" t="s">
        <v>25</v>
      </c>
      <c r="G39" t="s">
        <v>25</v>
      </c>
      <c r="H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</row>
    <row r="40" spans="1:19" ht="15" customHeight="1" x14ac:dyDescent="0.25">
      <c r="A40" t="s">
        <v>71</v>
      </c>
      <c r="B40" t="s">
        <v>92</v>
      </c>
      <c r="C40" t="s">
        <v>83</v>
      </c>
      <c r="D40" t="s">
        <v>41</v>
      </c>
      <c r="E40" t="s">
        <v>23</v>
      </c>
      <c r="F40" t="str">
        <f t="shared" ref="F40" si="6">"/code/"&amp;"TS1-"&amp;D40</f>
        <v>/code/TS1-S2</v>
      </c>
      <c r="G40" t="s">
        <v>1036</v>
      </c>
      <c r="H40">
        <v>10913.523000450999</v>
      </c>
      <c r="I40" t="s">
        <v>303</v>
      </c>
      <c r="J40">
        <v>1103.5869691160001</v>
      </c>
      <c r="K40">
        <v>1.6093E-2</v>
      </c>
      <c r="L40">
        <v>9.9629999999999996E-3</v>
      </c>
      <c r="M40">
        <v>32.5</v>
      </c>
      <c r="N40" t="s">
        <v>25</v>
      </c>
      <c r="O40" t="s">
        <v>25</v>
      </c>
      <c r="P40">
        <v>6.13E-3</v>
      </c>
      <c r="Q40">
        <v>20</v>
      </c>
      <c r="R40" s="4" t="s">
        <v>935</v>
      </c>
      <c r="S40" t="s">
        <v>902</v>
      </c>
    </row>
    <row r="41" spans="1:19" ht="15" customHeight="1" x14ac:dyDescent="0.25">
      <c r="A41" t="s">
        <v>71</v>
      </c>
      <c r="B41" t="s">
        <v>92</v>
      </c>
      <c r="C41" t="s">
        <v>83</v>
      </c>
      <c r="D41" t="s">
        <v>41</v>
      </c>
      <c r="E41" t="s">
        <v>23</v>
      </c>
      <c r="F41" t="str">
        <f t="shared" ref="F41" si="7">"/code/"&amp;"TS1-"&amp;D41</f>
        <v>/code/TS1-S2</v>
      </c>
      <c r="G41" t="s">
        <v>1036</v>
      </c>
      <c r="H41">
        <v>10913.523000450999</v>
      </c>
      <c r="I41" t="s">
        <v>304</v>
      </c>
      <c r="J41">
        <v>1091.98036877399</v>
      </c>
      <c r="K41">
        <v>1.5925000000000002E-2</v>
      </c>
      <c r="L41">
        <v>9.8580000000000004E-3</v>
      </c>
      <c r="M41">
        <v>32.5</v>
      </c>
      <c r="N41" t="s">
        <v>25</v>
      </c>
      <c r="O41" t="s">
        <v>25</v>
      </c>
      <c r="P41">
        <v>6.0660000000000002E-3</v>
      </c>
      <c r="Q41">
        <v>20</v>
      </c>
      <c r="R41" s="4" t="s">
        <v>936</v>
      </c>
      <c r="S41" t="s">
        <v>903</v>
      </c>
    </row>
    <row r="42" spans="1:19" ht="15" customHeight="1" x14ac:dyDescent="0.25">
      <c r="A42" t="s">
        <v>71</v>
      </c>
      <c r="B42" t="s">
        <v>92</v>
      </c>
      <c r="C42" t="s">
        <v>83</v>
      </c>
      <c r="D42" t="s">
        <v>41</v>
      </c>
      <c r="E42" t="s">
        <v>23</v>
      </c>
      <c r="F42" t="str">
        <f t="shared" si="3"/>
        <v>/code/TS1-S2</v>
      </c>
      <c r="G42" t="s">
        <v>1036</v>
      </c>
      <c r="H42">
        <v>10913.523000450999</v>
      </c>
      <c r="I42" t="s">
        <v>305</v>
      </c>
      <c r="J42">
        <v>1106.582010225</v>
      </c>
      <c r="K42">
        <v>1.6136999999999999E-2</v>
      </c>
      <c r="L42">
        <v>9.9900000000000006E-3</v>
      </c>
      <c r="M42">
        <v>32.5</v>
      </c>
      <c r="N42" t="s">
        <v>25</v>
      </c>
      <c r="O42" t="s">
        <v>25</v>
      </c>
      <c r="P42">
        <v>6.1469999999999997E-3</v>
      </c>
      <c r="Q42">
        <v>20</v>
      </c>
      <c r="R42" s="4" t="s">
        <v>937</v>
      </c>
      <c r="S42" t="s">
        <v>904</v>
      </c>
    </row>
    <row r="43" spans="1:19" ht="15" customHeight="1" x14ac:dyDescent="0.25">
      <c r="A43" t="s">
        <v>71</v>
      </c>
      <c r="B43" t="s">
        <v>92</v>
      </c>
      <c r="C43" t="s">
        <v>83</v>
      </c>
      <c r="D43" t="s">
        <v>41</v>
      </c>
      <c r="E43" t="s">
        <v>48</v>
      </c>
      <c r="F43" t="s">
        <v>25</v>
      </c>
      <c r="G43" t="s">
        <v>25</v>
      </c>
      <c r="H43" t="s">
        <v>25</v>
      </c>
      <c r="J43" t="s">
        <v>25</v>
      </c>
      <c r="K43" t="s">
        <v>25</v>
      </c>
      <c r="L43" t="s">
        <v>25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</row>
    <row r="44" spans="1:19" ht="15" customHeight="1" x14ac:dyDescent="0.25">
      <c r="A44" t="s">
        <v>71</v>
      </c>
      <c r="B44" t="s">
        <v>92</v>
      </c>
      <c r="C44" t="s">
        <v>83</v>
      </c>
      <c r="D44" t="s">
        <v>41</v>
      </c>
      <c r="E44" t="s">
        <v>48</v>
      </c>
      <c r="F44" t="s">
        <v>25</v>
      </c>
      <c r="G44" t="s">
        <v>25</v>
      </c>
      <c r="H44" t="s">
        <v>25</v>
      </c>
      <c r="J44" t="s">
        <v>25</v>
      </c>
      <c r="K44" t="s">
        <v>25</v>
      </c>
      <c r="L44" t="s">
        <v>25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</row>
    <row r="45" spans="1:19" ht="15" customHeight="1" x14ac:dyDescent="0.25">
      <c r="A45" t="s">
        <v>71</v>
      </c>
      <c r="B45" t="s">
        <v>92</v>
      </c>
      <c r="C45" t="s">
        <v>83</v>
      </c>
      <c r="D45" t="s">
        <v>41</v>
      </c>
      <c r="E45" t="s">
        <v>48</v>
      </c>
      <c r="F45" t="s">
        <v>25</v>
      </c>
      <c r="G45" t="s">
        <v>25</v>
      </c>
      <c r="H45" t="s">
        <v>25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</row>
    <row r="46" spans="1:19" ht="15" customHeight="1" x14ac:dyDescent="0.25">
      <c r="A46" t="s">
        <v>71</v>
      </c>
      <c r="B46" t="s">
        <v>92</v>
      </c>
      <c r="C46" t="s">
        <v>86</v>
      </c>
      <c r="D46" t="s">
        <v>41</v>
      </c>
      <c r="E46" t="s">
        <v>23</v>
      </c>
      <c r="F46" t="str">
        <f t="shared" ref="F46" si="8">"/code/"&amp;"TS1-"&amp;D46</f>
        <v>/code/TS1-S2</v>
      </c>
      <c r="G46" t="s">
        <v>1036</v>
      </c>
      <c r="H46">
        <v>5920.4541860109903</v>
      </c>
      <c r="I46" t="s">
        <v>303</v>
      </c>
      <c r="J46">
        <v>614.80494658999999</v>
      </c>
      <c r="K46">
        <v>8.9610000000000002E-3</v>
      </c>
      <c r="L46">
        <v>5.548E-3</v>
      </c>
      <c r="M46">
        <v>32.5</v>
      </c>
      <c r="N46" t="s">
        <v>25</v>
      </c>
      <c r="O46" t="s">
        <v>25</v>
      </c>
      <c r="P46">
        <v>3.4129999999999998E-3</v>
      </c>
      <c r="Q46">
        <v>20</v>
      </c>
      <c r="R46" s="4" t="s">
        <v>938</v>
      </c>
      <c r="S46" t="s">
        <v>905</v>
      </c>
    </row>
    <row r="47" spans="1:19" ht="15" customHeight="1" x14ac:dyDescent="0.25">
      <c r="A47" t="s">
        <v>71</v>
      </c>
      <c r="B47" t="s">
        <v>92</v>
      </c>
      <c r="C47" t="s">
        <v>86</v>
      </c>
      <c r="D47" t="s">
        <v>41</v>
      </c>
      <c r="E47" t="s">
        <v>23</v>
      </c>
      <c r="F47" t="str">
        <f t="shared" ref="F47" si="9">"/code/"&amp;"TS1-"&amp;D47</f>
        <v>/code/TS1-S2</v>
      </c>
      <c r="G47" t="s">
        <v>1036</v>
      </c>
      <c r="H47">
        <v>5920.4541860109903</v>
      </c>
      <c r="I47" t="s">
        <v>304</v>
      </c>
      <c r="J47">
        <v>612.90360272999999</v>
      </c>
      <c r="K47">
        <v>8.9309999999999997E-3</v>
      </c>
      <c r="L47">
        <v>5.5300000000000002E-3</v>
      </c>
      <c r="M47">
        <v>32.5</v>
      </c>
      <c r="N47" t="s">
        <v>25</v>
      </c>
      <c r="O47" t="s">
        <v>25</v>
      </c>
      <c r="P47">
        <v>3.4009999999999999E-3</v>
      </c>
      <c r="Q47">
        <v>20</v>
      </c>
      <c r="R47" s="4" t="s">
        <v>939</v>
      </c>
      <c r="S47" t="s">
        <v>906</v>
      </c>
    </row>
    <row r="48" spans="1:19" ht="15" customHeight="1" x14ac:dyDescent="0.25">
      <c r="A48" t="s">
        <v>71</v>
      </c>
      <c r="B48" t="s">
        <v>92</v>
      </c>
      <c r="C48" t="s">
        <v>86</v>
      </c>
      <c r="D48" t="s">
        <v>41</v>
      </c>
      <c r="E48" t="s">
        <v>23</v>
      </c>
      <c r="F48" t="str">
        <f t="shared" si="3"/>
        <v>/code/TS1-S2</v>
      </c>
      <c r="G48" t="s">
        <v>1036</v>
      </c>
      <c r="H48">
        <v>5920.4541860109903</v>
      </c>
      <c r="I48" t="s">
        <v>305</v>
      </c>
      <c r="J48">
        <v>617.62552198799801</v>
      </c>
      <c r="K48">
        <v>8.9990000000000001E-3</v>
      </c>
      <c r="L48">
        <v>5.5719999999999997E-3</v>
      </c>
      <c r="M48">
        <v>32.5</v>
      </c>
      <c r="N48" t="s">
        <v>25</v>
      </c>
      <c r="O48" t="s">
        <v>25</v>
      </c>
      <c r="P48">
        <v>3.4269999999999999E-3</v>
      </c>
      <c r="Q48">
        <v>20</v>
      </c>
      <c r="R48" s="4" t="s">
        <v>940</v>
      </c>
      <c r="S48" t="s">
        <v>907</v>
      </c>
    </row>
    <row r="49" spans="1:19" ht="15" customHeight="1" x14ac:dyDescent="0.25">
      <c r="A49" t="s">
        <v>71</v>
      </c>
      <c r="B49" t="s">
        <v>92</v>
      </c>
      <c r="C49" t="s">
        <v>86</v>
      </c>
      <c r="D49" t="s">
        <v>41</v>
      </c>
      <c r="E49" t="s">
        <v>48</v>
      </c>
      <c r="F49" t="s">
        <v>25</v>
      </c>
      <c r="G49" t="s">
        <v>25</v>
      </c>
      <c r="H49" t="s">
        <v>25</v>
      </c>
      <c r="J49" t="s">
        <v>25</v>
      </c>
      <c r="K49" t="s">
        <v>25</v>
      </c>
      <c r="L49" t="s">
        <v>25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</row>
    <row r="50" spans="1:19" ht="15" customHeight="1" x14ac:dyDescent="0.25">
      <c r="A50" t="s">
        <v>71</v>
      </c>
      <c r="B50" t="s">
        <v>92</v>
      </c>
      <c r="C50" t="s">
        <v>86</v>
      </c>
      <c r="D50" t="s">
        <v>41</v>
      </c>
      <c r="E50" t="s">
        <v>48</v>
      </c>
      <c r="F50" t="s">
        <v>25</v>
      </c>
      <c r="G50" t="s">
        <v>25</v>
      </c>
      <c r="H50" t="s">
        <v>25</v>
      </c>
      <c r="J50" t="s">
        <v>25</v>
      </c>
      <c r="K50" t="s">
        <v>25</v>
      </c>
      <c r="L50" t="s">
        <v>25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</row>
    <row r="51" spans="1:19" ht="15" customHeight="1" x14ac:dyDescent="0.25">
      <c r="A51" t="s">
        <v>71</v>
      </c>
      <c r="B51" t="s">
        <v>92</v>
      </c>
      <c r="C51" t="s">
        <v>86</v>
      </c>
      <c r="D51" t="s">
        <v>41</v>
      </c>
      <c r="E51" t="s">
        <v>48</v>
      </c>
      <c r="F51" t="s">
        <v>25</v>
      </c>
      <c r="G51" t="s">
        <v>25</v>
      </c>
      <c r="H51" t="s">
        <v>25</v>
      </c>
      <c r="J51" t="s">
        <v>25</v>
      </c>
      <c r="K51" t="s">
        <v>25</v>
      </c>
      <c r="L51" t="s">
        <v>25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</row>
    <row r="52" spans="1:19" ht="15" customHeight="1" x14ac:dyDescent="0.25">
      <c r="A52" t="s">
        <v>71</v>
      </c>
      <c r="B52" t="s">
        <v>92</v>
      </c>
      <c r="C52" t="s">
        <v>89</v>
      </c>
      <c r="D52" t="s">
        <v>41</v>
      </c>
      <c r="E52" t="s">
        <v>23</v>
      </c>
      <c r="F52" t="str">
        <f t="shared" ref="F52" si="10">"/code/"&amp;"TS1-"&amp;D52</f>
        <v>/code/TS1-S2</v>
      </c>
      <c r="G52" t="s">
        <v>1036</v>
      </c>
      <c r="H52">
        <v>5849.6244957059898</v>
      </c>
      <c r="I52" t="s">
        <v>303</v>
      </c>
      <c r="J52">
        <v>599.05322491299899</v>
      </c>
      <c r="K52">
        <v>8.737E-3</v>
      </c>
      <c r="L52">
        <v>5.4079999999999996E-3</v>
      </c>
      <c r="M52">
        <v>32.5</v>
      </c>
      <c r="N52" t="s">
        <v>25</v>
      </c>
      <c r="O52" t="s">
        <v>25</v>
      </c>
      <c r="P52">
        <v>3.3279999999999998E-3</v>
      </c>
      <c r="Q52">
        <v>20</v>
      </c>
      <c r="R52" s="4" t="s">
        <v>941</v>
      </c>
      <c r="S52" t="s">
        <v>908</v>
      </c>
    </row>
    <row r="53" spans="1:19" ht="15" customHeight="1" x14ac:dyDescent="0.25">
      <c r="A53" t="s">
        <v>71</v>
      </c>
      <c r="B53" t="s">
        <v>92</v>
      </c>
      <c r="C53" t="s">
        <v>89</v>
      </c>
      <c r="D53" t="s">
        <v>41</v>
      </c>
      <c r="E53" t="s">
        <v>23</v>
      </c>
      <c r="F53" t="str">
        <f t="shared" ref="F53" si="11">"/code/"&amp;"TS1-"&amp;D53</f>
        <v>/code/TS1-S2</v>
      </c>
      <c r="G53" t="s">
        <v>1036</v>
      </c>
      <c r="H53">
        <v>5849.6244957059898</v>
      </c>
      <c r="I53" t="s">
        <v>304</v>
      </c>
      <c r="J53">
        <v>605.86390797599699</v>
      </c>
      <c r="K53">
        <v>8.8360000000000001E-3</v>
      </c>
      <c r="L53">
        <v>5.47E-3</v>
      </c>
      <c r="M53">
        <v>32.5</v>
      </c>
      <c r="N53" t="s">
        <v>25</v>
      </c>
      <c r="O53" t="s">
        <v>25</v>
      </c>
      <c r="P53">
        <v>3.3660000000000001E-3</v>
      </c>
      <c r="Q53">
        <v>20</v>
      </c>
      <c r="R53" s="4" t="s">
        <v>942</v>
      </c>
      <c r="S53" t="s">
        <v>909</v>
      </c>
    </row>
    <row r="54" spans="1:19" ht="15" customHeight="1" x14ac:dyDescent="0.25">
      <c r="A54" t="s">
        <v>71</v>
      </c>
      <c r="B54" t="s">
        <v>92</v>
      </c>
      <c r="C54" t="s">
        <v>89</v>
      </c>
      <c r="D54" t="s">
        <v>41</v>
      </c>
      <c r="E54" t="s">
        <v>23</v>
      </c>
      <c r="F54" t="str">
        <f t="shared" si="3"/>
        <v>/code/TS1-S2</v>
      </c>
      <c r="G54" t="s">
        <v>1036</v>
      </c>
      <c r="H54">
        <v>5849.6244957059898</v>
      </c>
      <c r="I54" t="s">
        <v>305</v>
      </c>
      <c r="J54">
        <v>598.95269735199997</v>
      </c>
      <c r="K54">
        <v>8.7349999999999997E-3</v>
      </c>
      <c r="L54">
        <v>5.4070000000000003E-3</v>
      </c>
      <c r="M54">
        <v>32.5</v>
      </c>
      <c r="N54" t="s">
        <v>25</v>
      </c>
      <c r="O54" t="s">
        <v>25</v>
      </c>
      <c r="P54">
        <v>3.3279999999999998E-3</v>
      </c>
      <c r="Q54">
        <v>20</v>
      </c>
      <c r="R54" s="4" t="s">
        <v>943</v>
      </c>
      <c r="S54" t="s">
        <v>910</v>
      </c>
    </row>
    <row r="55" spans="1:19" ht="15" customHeight="1" x14ac:dyDescent="0.25">
      <c r="A55" t="s">
        <v>71</v>
      </c>
      <c r="B55" t="s">
        <v>92</v>
      </c>
      <c r="C55" t="s">
        <v>89</v>
      </c>
      <c r="D55" t="s">
        <v>41</v>
      </c>
      <c r="E55" t="s">
        <v>48</v>
      </c>
      <c r="F55" t="s">
        <v>25</v>
      </c>
      <c r="G55" t="s">
        <v>25</v>
      </c>
      <c r="H55" t="s">
        <v>25</v>
      </c>
      <c r="J55" t="s">
        <v>25</v>
      </c>
      <c r="K55" t="s">
        <v>25</v>
      </c>
      <c r="L55" t="s">
        <v>25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</row>
    <row r="56" spans="1:19" ht="15" customHeight="1" x14ac:dyDescent="0.25">
      <c r="A56" t="s">
        <v>71</v>
      </c>
      <c r="B56" t="s">
        <v>92</v>
      </c>
      <c r="C56" t="s">
        <v>89</v>
      </c>
      <c r="D56" t="s">
        <v>41</v>
      </c>
      <c r="E56" t="s">
        <v>48</v>
      </c>
      <c r="F56" t="s">
        <v>25</v>
      </c>
      <c r="G56" t="s">
        <v>25</v>
      </c>
      <c r="H56" t="s">
        <v>25</v>
      </c>
      <c r="J56" t="s">
        <v>25</v>
      </c>
      <c r="K56" t="s">
        <v>25</v>
      </c>
      <c r="L56" t="s">
        <v>25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</row>
    <row r="57" spans="1:19" ht="15" customHeight="1" x14ac:dyDescent="0.25">
      <c r="A57" t="s">
        <v>71</v>
      </c>
      <c r="B57" t="s">
        <v>92</v>
      </c>
      <c r="C57" t="s">
        <v>89</v>
      </c>
      <c r="D57" t="s">
        <v>41</v>
      </c>
      <c r="E57" t="s">
        <v>48</v>
      </c>
      <c r="F57" t="s">
        <v>25</v>
      </c>
      <c r="G57" t="s">
        <v>25</v>
      </c>
      <c r="H57" t="s">
        <v>25</v>
      </c>
      <c r="J57" t="s">
        <v>25</v>
      </c>
      <c r="K57" t="s">
        <v>25</v>
      </c>
      <c r="L57" t="s">
        <v>25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</row>
    <row r="58" spans="1:19" ht="15" customHeight="1" x14ac:dyDescent="0.25"/>
    <row r="59" spans="1:19" ht="15" customHeight="1" x14ac:dyDescent="0.25"/>
    <row r="60" spans="1:19" ht="15" customHeight="1" x14ac:dyDescent="0.25">
      <c r="A60" t="s">
        <v>126</v>
      </c>
      <c r="B60" t="s">
        <v>140</v>
      </c>
      <c r="C60" t="s">
        <v>73</v>
      </c>
      <c r="D60" t="s">
        <v>41</v>
      </c>
      <c r="E60" t="s">
        <v>23</v>
      </c>
      <c r="F60" t="str">
        <f t="shared" ref="F60" si="12">"/code/TS2-"&amp;D60&amp;"/lex"</f>
        <v>/code/TS2-S2/lex</v>
      </c>
      <c r="G60" t="s">
        <v>1037</v>
      </c>
      <c r="H60">
        <v>98.863055540000005</v>
      </c>
      <c r="I60" t="s">
        <v>303</v>
      </c>
      <c r="J60">
        <v>10.7048193090013</v>
      </c>
      <c r="K60">
        <v>1.3300000000000001E-4</v>
      </c>
      <c r="L60">
        <v>8.2999999999999998E-5</v>
      </c>
      <c r="M60">
        <v>32.5</v>
      </c>
      <c r="N60" t="s">
        <v>25</v>
      </c>
      <c r="O60" t="s">
        <v>25</v>
      </c>
      <c r="P60">
        <v>5.1E-5</v>
      </c>
      <c r="Q60">
        <v>20</v>
      </c>
      <c r="R60" s="4" t="s">
        <v>944</v>
      </c>
      <c r="S60" t="s">
        <v>809</v>
      </c>
    </row>
    <row r="61" spans="1:19" ht="15" customHeight="1" x14ac:dyDescent="0.25">
      <c r="A61" t="s">
        <v>126</v>
      </c>
      <c r="B61" t="s">
        <v>140</v>
      </c>
      <c r="C61" t="s">
        <v>73</v>
      </c>
      <c r="D61" t="s">
        <v>41</v>
      </c>
      <c r="E61" t="s">
        <v>23</v>
      </c>
      <c r="F61" t="str">
        <f t="shared" ref="F61" si="13">"/code/TS2-"&amp;D61&amp;"/lex"</f>
        <v>/code/TS2-S2/lex</v>
      </c>
      <c r="G61" t="s">
        <v>1037</v>
      </c>
      <c r="H61">
        <v>98.863055540000005</v>
      </c>
      <c r="I61" t="s">
        <v>304</v>
      </c>
      <c r="J61">
        <v>10.636075109003199</v>
      </c>
      <c r="K61">
        <v>1.3200000000000001E-4</v>
      </c>
      <c r="L61">
        <v>8.2000000000000001E-5</v>
      </c>
      <c r="M61">
        <v>32.5</v>
      </c>
      <c r="N61" t="s">
        <v>25</v>
      </c>
      <c r="O61" t="s">
        <v>25</v>
      </c>
      <c r="P61">
        <v>5.0000000000000002E-5</v>
      </c>
      <c r="Q61">
        <v>20</v>
      </c>
      <c r="R61" s="4" t="s">
        <v>945</v>
      </c>
      <c r="S61" t="s">
        <v>810</v>
      </c>
    </row>
    <row r="62" spans="1:19" ht="15" customHeight="1" x14ac:dyDescent="0.25">
      <c r="A62" t="s">
        <v>126</v>
      </c>
      <c r="B62" t="s">
        <v>140</v>
      </c>
      <c r="C62" t="s">
        <v>73</v>
      </c>
      <c r="D62" t="s">
        <v>41</v>
      </c>
      <c r="E62" t="s">
        <v>23</v>
      </c>
      <c r="F62" t="str">
        <f t="shared" ref="F62" si="14">"/code/TS2-"&amp;D62&amp;"/lex"</f>
        <v>/code/TS2-S2/lex</v>
      </c>
      <c r="G62" t="s">
        <v>1037</v>
      </c>
      <c r="H62">
        <v>98.863055540000005</v>
      </c>
      <c r="I62" t="s">
        <v>305</v>
      </c>
      <c r="J62">
        <v>10.8407271959986</v>
      </c>
      <c r="K62">
        <v>1.36E-4</v>
      </c>
      <c r="L62">
        <v>8.3999999999999995E-5</v>
      </c>
      <c r="M62">
        <v>32.5</v>
      </c>
      <c r="N62" t="s">
        <v>25</v>
      </c>
      <c r="O62" t="s">
        <v>25</v>
      </c>
      <c r="P62">
        <v>5.1999999999999997E-5</v>
      </c>
      <c r="Q62">
        <v>20</v>
      </c>
      <c r="R62" s="4" t="s">
        <v>946</v>
      </c>
      <c r="S62" t="s">
        <v>811</v>
      </c>
    </row>
    <row r="63" spans="1:19" ht="15" customHeight="1" x14ac:dyDescent="0.25">
      <c r="A63" t="s">
        <v>126</v>
      </c>
      <c r="B63" t="s">
        <v>140</v>
      </c>
      <c r="C63" t="s">
        <v>131</v>
      </c>
      <c r="D63" t="s">
        <v>41</v>
      </c>
      <c r="E63" t="s">
        <v>23</v>
      </c>
      <c r="F63" t="str">
        <f>"/code/TS2-"&amp;D63&amp;"/bert2bert"</f>
        <v>/code/TS2-S2/bert2bert</v>
      </c>
      <c r="G63" t="s">
        <v>1037</v>
      </c>
      <c r="H63">
        <v>2963.4571180989901</v>
      </c>
      <c r="I63" t="s">
        <v>303</v>
      </c>
      <c r="J63">
        <v>244.07654304800201</v>
      </c>
      <c r="K63">
        <v>3.5370000000000002E-3</v>
      </c>
      <c r="L63">
        <v>2.1900000000000001E-3</v>
      </c>
      <c r="M63">
        <v>32.5</v>
      </c>
      <c r="N63" t="s">
        <v>25</v>
      </c>
      <c r="O63" t="s">
        <v>25</v>
      </c>
      <c r="P63">
        <v>1.3470000000000001E-3</v>
      </c>
      <c r="Q63">
        <v>20</v>
      </c>
      <c r="R63" s="4" t="s">
        <v>947</v>
      </c>
      <c r="S63" t="s">
        <v>812</v>
      </c>
    </row>
    <row r="64" spans="1:19" ht="15" customHeight="1" x14ac:dyDescent="0.25">
      <c r="A64" t="s">
        <v>126</v>
      </c>
      <c r="B64" t="s">
        <v>140</v>
      </c>
      <c r="C64" t="s">
        <v>131</v>
      </c>
      <c r="D64" t="s">
        <v>41</v>
      </c>
      <c r="E64" t="s">
        <v>23</v>
      </c>
      <c r="F64" t="str">
        <f>"/code/TS2-"&amp;D64&amp;"/bert2bert"</f>
        <v>/code/TS2-S2/bert2bert</v>
      </c>
      <c r="G64" t="s">
        <v>1037</v>
      </c>
      <c r="H64">
        <v>2963.4571180989901</v>
      </c>
      <c r="I64" t="s">
        <v>304</v>
      </c>
      <c r="J64">
        <v>243.56011644600201</v>
      </c>
      <c r="K64">
        <v>3.529E-3</v>
      </c>
      <c r="L64">
        <v>2.1849999999999999E-3</v>
      </c>
      <c r="M64">
        <v>32.5</v>
      </c>
      <c r="N64" t="s">
        <v>25</v>
      </c>
      <c r="O64" t="s">
        <v>25</v>
      </c>
      <c r="P64">
        <v>1.3439999999999999E-3</v>
      </c>
      <c r="Q64">
        <v>20</v>
      </c>
      <c r="R64" s="4" t="s">
        <v>948</v>
      </c>
      <c r="S64" t="s">
        <v>813</v>
      </c>
    </row>
    <row r="65" spans="1:19" ht="15" customHeight="1" x14ac:dyDescent="0.25">
      <c r="A65" t="s">
        <v>126</v>
      </c>
      <c r="B65" t="s">
        <v>140</v>
      </c>
      <c r="C65" t="s">
        <v>131</v>
      </c>
      <c r="D65" t="s">
        <v>41</v>
      </c>
      <c r="E65" t="s">
        <v>23</v>
      </c>
      <c r="F65" t="str">
        <f>"/code/TS2-"&amp;D65&amp;"/bert2bert"</f>
        <v>/code/TS2-S2/bert2bert</v>
      </c>
      <c r="G65" t="s">
        <v>1037</v>
      </c>
      <c r="H65">
        <v>2963.4571180989901</v>
      </c>
      <c r="I65" t="s">
        <v>305</v>
      </c>
      <c r="J65">
        <v>242.62581979300001</v>
      </c>
      <c r="K65">
        <v>3.516E-3</v>
      </c>
      <c r="L65">
        <v>2.176E-3</v>
      </c>
      <c r="M65">
        <v>32.5</v>
      </c>
      <c r="N65" t="s">
        <v>25</v>
      </c>
      <c r="O65" t="s">
        <v>25</v>
      </c>
      <c r="P65">
        <v>1.3389999999999999E-3</v>
      </c>
      <c r="Q65">
        <v>20</v>
      </c>
      <c r="R65" s="4" t="s">
        <v>949</v>
      </c>
      <c r="S65" t="s">
        <v>814</v>
      </c>
    </row>
    <row r="66" spans="1:19" ht="15" customHeight="1" x14ac:dyDescent="0.25">
      <c r="A66" t="s">
        <v>126</v>
      </c>
      <c r="B66" t="s">
        <v>140</v>
      </c>
      <c r="C66" t="s">
        <v>131</v>
      </c>
      <c r="D66" t="s">
        <v>41</v>
      </c>
      <c r="E66" t="s">
        <v>48</v>
      </c>
      <c r="F66" t="s">
        <v>25</v>
      </c>
      <c r="G66" t="s">
        <v>25</v>
      </c>
      <c r="H66" t="s">
        <v>25</v>
      </c>
      <c r="J66" t="s">
        <v>25</v>
      </c>
      <c r="K66" t="s">
        <v>25</v>
      </c>
      <c r="L66" t="s">
        <v>25</v>
      </c>
      <c r="M66" t="s">
        <v>25</v>
      </c>
      <c r="N66" t="s">
        <v>25</v>
      </c>
      <c r="O66" t="s">
        <v>25</v>
      </c>
      <c r="P66" t="s">
        <v>25</v>
      </c>
      <c r="Q66" t="s">
        <v>25</v>
      </c>
      <c r="R66" t="s">
        <v>25</v>
      </c>
      <c r="S66" t="s">
        <v>25</v>
      </c>
    </row>
    <row r="67" spans="1:19" ht="15" customHeight="1" x14ac:dyDescent="0.25">
      <c r="A67" t="s">
        <v>126</v>
      </c>
      <c r="B67" t="s">
        <v>140</v>
      </c>
      <c r="C67" t="s">
        <v>131</v>
      </c>
      <c r="D67" t="s">
        <v>41</v>
      </c>
      <c r="E67" t="s">
        <v>48</v>
      </c>
      <c r="F67" t="s">
        <v>25</v>
      </c>
      <c r="G67" t="s">
        <v>25</v>
      </c>
      <c r="H67" t="s">
        <v>25</v>
      </c>
      <c r="J67" t="s">
        <v>25</v>
      </c>
      <c r="K67" t="s">
        <v>25</v>
      </c>
      <c r="L67" t="s">
        <v>25</v>
      </c>
      <c r="M67" t="s">
        <v>25</v>
      </c>
      <c r="N67" t="s">
        <v>25</v>
      </c>
      <c r="O67" t="s">
        <v>25</v>
      </c>
      <c r="P67" t="s">
        <v>25</v>
      </c>
      <c r="Q67" t="s">
        <v>25</v>
      </c>
      <c r="R67" t="s">
        <v>25</v>
      </c>
      <c r="S67" t="s">
        <v>25</v>
      </c>
    </row>
    <row r="68" spans="1:19" ht="15" customHeight="1" x14ac:dyDescent="0.25">
      <c r="A68" t="s">
        <v>126</v>
      </c>
      <c r="B68" t="s">
        <v>140</v>
      </c>
      <c r="C68" t="s">
        <v>131</v>
      </c>
      <c r="D68" t="s">
        <v>41</v>
      </c>
      <c r="E68" t="s">
        <v>48</v>
      </c>
      <c r="F68" t="s">
        <v>25</v>
      </c>
      <c r="G68" t="s">
        <v>25</v>
      </c>
      <c r="H68" t="s">
        <v>25</v>
      </c>
      <c r="J68" t="s">
        <v>25</v>
      </c>
      <c r="K68" t="s">
        <v>25</v>
      </c>
      <c r="L68" t="s">
        <v>25</v>
      </c>
      <c r="M68" t="s">
        <v>25</v>
      </c>
      <c r="N68" t="s">
        <v>25</v>
      </c>
      <c r="O68" t="s">
        <v>25</v>
      </c>
      <c r="P68" t="s">
        <v>25</v>
      </c>
      <c r="Q68" t="s">
        <v>25</v>
      </c>
      <c r="R68" t="s">
        <v>25</v>
      </c>
      <c r="S68" t="s">
        <v>25</v>
      </c>
    </row>
    <row r="69" spans="1:19" ht="15" customHeight="1" x14ac:dyDescent="0.25">
      <c r="A69" t="s">
        <v>126</v>
      </c>
      <c r="B69" t="s">
        <v>140</v>
      </c>
      <c r="C69" t="s">
        <v>134</v>
      </c>
      <c r="D69" t="s">
        <v>41</v>
      </c>
      <c r="E69" t="s">
        <v>23</v>
      </c>
      <c r="F69" t="str">
        <f>"/code/TS2-"&amp;D69&amp;"/mlong"</f>
        <v>/code/TS2-S2/mlong</v>
      </c>
      <c r="G69" t="s">
        <v>1037</v>
      </c>
      <c r="H69">
        <v>24335.959905432999</v>
      </c>
      <c r="I69" t="s">
        <v>303</v>
      </c>
      <c r="J69">
        <v>2167.1972305099998</v>
      </c>
      <c r="K69">
        <v>3.1581999999999999E-2</v>
      </c>
      <c r="L69">
        <v>1.9550999999999999E-2</v>
      </c>
      <c r="M69">
        <v>32.5</v>
      </c>
      <c r="N69" t="s">
        <v>25</v>
      </c>
      <c r="O69" t="s">
        <v>25</v>
      </c>
      <c r="P69">
        <v>1.2031E-2</v>
      </c>
      <c r="Q69">
        <v>20</v>
      </c>
      <c r="R69" s="4" t="s">
        <v>950</v>
      </c>
      <c r="S69" t="s">
        <v>815</v>
      </c>
    </row>
    <row r="70" spans="1:19" ht="15" customHeight="1" x14ac:dyDescent="0.25">
      <c r="A70" t="s">
        <v>126</v>
      </c>
      <c r="B70" t="s">
        <v>140</v>
      </c>
      <c r="C70" t="s">
        <v>134</v>
      </c>
      <c r="D70" t="s">
        <v>41</v>
      </c>
      <c r="E70" t="s">
        <v>23</v>
      </c>
      <c r="F70" t="str">
        <f>"/code/TS2-"&amp;D70&amp;"/mlong"</f>
        <v>/code/TS2-S2/mlong</v>
      </c>
      <c r="G70" t="s">
        <v>1037</v>
      </c>
      <c r="H70">
        <v>24335.959905432999</v>
      </c>
      <c r="I70" t="s">
        <v>304</v>
      </c>
      <c r="J70">
        <v>2143.7243708799901</v>
      </c>
      <c r="K70">
        <v>3.1238999999999999E-2</v>
      </c>
      <c r="L70">
        <v>1.9338000000000001E-2</v>
      </c>
      <c r="M70">
        <v>32.5</v>
      </c>
      <c r="N70" t="s">
        <v>25</v>
      </c>
      <c r="O70" t="s">
        <v>25</v>
      </c>
      <c r="P70">
        <v>1.1900000000000001E-2</v>
      </c>
      <c r="Q70">
        <v>20</v>
      </c>
      <c r="R70" s="4" t="s">
        <v>951</v>
      </c>
      <c r="S70" t="s">
        <v>816</v>
      </c>
    </row>
    <row r="71" spans="1:19" ht="15" customHeight="1" x14ac:dyDescent="0.25">
      <c r="A71" t="s">
        <v>126</v>
      </c>
      <c r="B71" t="s">
        <v>140</v>
      </c>
      <c r="C71" t="s">
        <v>134</v>
      </c>
      <c r="D71" t="s">
        <v>41</v>
      </c>
      <c r="E71" t="s">
        <v>23</v>
      </c>
      <c r="F71" t="str">
        <f>"/code/TS2-"&amp;D71&amp;"/mlong"</f>
        <v>/code/TS2-S2/mlong</v>
      </c>
      <c r="G71" t="s">
        <v>1037</v>
      </c>
      <c r="H71">
        <v>24335.959905432999</v>
      </c>
      <c r="I71" t="s">
        <v>305</v>
      </c>
      <c r="J71">
        <v>2183.128638956</v>
      </c>
      <c r="K71">
        <v>3.1808999999999997E-2</v>
      </c>
      <c r="L71">
        <v>1.9692000000000001E-2</v>
      </c>
      <c r="M71">
        <v>32.5</v>
      </c>
      <c r="N71" t="s">
        <v>25</v>
      </c>
      <c r="O71" t="s">
        <v>25</v>
      </c>
      <c r="P71">
        <v>1.2118E-2</v>
      </c>
      <c r="Q71">
        <v>20</v>
      </c>
      <c r="R71" s="4" t="s">
        <v>952</v>
      </c>
      <c r="S71" t="s">
        <v>817</v>
      </c>
    </row>
    <row r="72" spans="1:19" ht="15" customHeight="1" x14ac:dyDescent="0.25">
      <c r="A72" t="s">
        <v>126</v>
      </c>
      <c r="B72" t="s">
        <v>140</v>
      </c>
      <c r="C72" t="s">
        <v>134</v>
      </c>
      <c r="D72" t="s">
        <v>41</v>
      </c>
      <c r="E72" t="s">
        <v>48</v>
      </c>
      <c r="F72" t="s">
        <v>25</v>
      </c>
      <c r="G72" t="s">
        <v>25</v>
      </c>
      <c r="H72" t="s">
        <v>25</v>
      </c>
      <c r="J72" t="s">
        <v>25</v>
      </c>
      <c r="K72" t="s">
        <v>25</v>
      </c>
      <c r="L72" t="s">
        <v>25</v>
      </c>
      <c r="M72" t="s">
        <v>25</v>
      </c>
      <c r="N72" t="s">
        <v>25</v>
      </c>
      <c r="O72" t="s">
        <v>25</v>
      </c>
      <c r="P72" t="s">
        <v>25</v>
      </c>
      <c r="Q72" t="s">
        <v>25</v>
      </c>
      <c r="R72" t="s">
        <v>25</v>
      </c>
      <c r="S72" t="s">
        <v>25</v>
      </c>
    </row>
    <row r="73" spans="1:19" ht="15" customHeight="1" x14ac:dyDescent="0.25">
      <c r="A73" t="s">
        <v>126</v>
      </c>
      <c r="B73" t="s">
        <v>140</v>
      </c>
      <c r="C73" t="s">
        <v>134</v>
      </c>
      <c r="D73" t="s">
        <v>41</v>
      </c>
      <c r="E73" t="s">
        <v>48</v>
      </c>
      <c r="F73" t="s">
        <v>25</v>
      </c>
      <c r="G73" t="s">
        <v>25</v>
      </c>
      <c r="H73" t="s">
        <v>25</v>
      </c>
      <c r="J73" t="s">
        <v>25</v>
      </c>
      <c r="K73" t="s">
        <v>25</v>
      </c>
      <c r="L73" t="s">
        <v>25</v>
      </c>
      <c r="M73" t="s">
        <v>25</v>
      </c>
      <c r="N73" t="s">
        <v>25</v>
      </c>
      <c r="O73" t="s">
        <v>25</v>
      </c>
      <c r="P73" t="s">
        <v>25</v>
      </c>
      <c r="Q73" t="s">
        <v>25</v>
      </c>
      <c r="R73" t="s">
        <v>25</v>
      </c>
      <c r="S73" t="s">
        <v>25</v>
      </c>
    </row>
    <row r="74" spans="1:19" ht="15" customHeight="1" x14ac:dyDescent="0.25">
      <c r="A74" t="s">
        <v>126</v>
      </c>
      <c r="B74" t="s">
        <v>140</v>
      </c>
      <c r="C74" t="s">
        <v>134</v>
      </c>
      <c r="D74" t="s">
        <v>41</v>
      </c>
      <c r="E74" t="s">
        <v>48</v>
      </c>
      <c r="F74" t="s">
        <v>25</v>
      </c>
      <c r="G74" t="s">
        <v>25</v>
      </c>
      <c r="H74" t="s">
        <v>25</v>
      </c>
      <c r="J74" t="s">
        <v>25</v>
      </c>
      <c r="K74" t="s">
        <v>25</v>
      </c>
      <c r="L74" t="s">
        <v>25</v>
      </c>
      <c r="M74" t="s">
        <v>25</v>
      </c>
      <c r="N74" t="s">
        <v>25</v>
      </c>
      <c r="O74" t="s">
        <v>25</v>
      </c>
      <c r="P74" t="s">
        <v>25</v>
      </c>
      <c r="Q74" t="s">
        <v>25</v>
      </c>
      <c r="R74" t="s">
        <v>25</v>
      </c>
      <c r="S74" t="s">
        <v>25</v>
      </c>
    </row>
    <row r="75" spans="1:19" ht="15" customHeight="1" x14ac:dyDescent="0.25">
      <c r="A75" t="s">
        <v>126</v>
      </c>
      <c r="B75" t="s">
        <v>140</v>
      </c>
      <c r="C75" t="s">
        <v>137</v>
      </c>
      <c r="D75" t="s">
        <v>41</v>
      </c>
      <c r="E75" t="s">
        <v>23</v>
      </c>
      <c r="F75" t="str">
        <f t="shared" ref="F75:F80" si="15">"/code/TS2-"&amp;D75&amp;"/mixtral"</f>
        <v>/code/TS2-S2/mixtral</v>
      </c>
      <c r="G75" t="s">
        <v>1037</v>
      </c>
      <c r="H75">
        <v>124585.94871110001</v>
      </c>
      <c r="I75" t="s">
        <v>303</v>
      </c>
      <c r="J75">
        <v>11266.8203283</v>
      </c>
      <c r="K75">
        <v>0.87602400000000002</v>
      </c>
      <c r="L75">
        <v>0.81345199999999995</v>
      </c>
      <c r="M75">
        <v>260</v>
      </c>
      <c r="N75" t="s">
        <v>25</v>
      </c>
      <c r="O75" t="s">
        <v>25</v>
      </c>
      <c r="P75">
        <v>6.2572000000000003E-2</v>
      </c>
      <c r="Q75">
        <v>20</v>
      </c>
      <c r="R75" s="4" t="s">
        <v>953</v>
      </c>
      <c r="S75" t="s">
        <v>818</v>
      </c>
    </row>
    <row r="76" spans="1:19" ht="15" customHeight="1" x14ac:dyDescent="0.25">
      <c r="A76" t="s">
        <v>126</v>
      </c>
      <c r="B76" t="s">
        <v>140</v>
      </c>
      <c r="C76" t="s">
        <v>137</v>
      </c>
      <c r="D76" t="s">
        <v>41</v>
      </c>
      <c r="E76" t="s">
        <v>23</v>
      </c>
      <c r="F76" t="str">
        <f t="shared" si="15"/>
        <v>/code/TS2-S2/mixtral</v>
      </c>
      <c r="G76" t="s">
        <v>1037</v>
      </c>
      <c r="H76">
        <v>124585.94871110001</v>
      </c>
      <c r="I76" t="s">
        <v>304</v>
      </c>
      <c r="J76">
        <v>11310.698011799899</v>
      </c>
      <c r="K76">
        <v>0.87945899999999999</v>
      </c>
      <c r="L76">
        <v>0.81664199999999998</v>
      </c>
      <c r="M76">
        <v>260</v>
      </c>
      <c r="N76" t="s">
        <v>25</v>
      </c>
      <c r="O76" t="s">
        <v>25</v>
      </c>
      <c r="P76">
        <v>6.2816999999999998E-2</v>
      </c>
      <c r="Q76">
        <v>20</v>
      </c>
      <c r="R76" s="4" t="s">
        <v>954</v>
      </c>
      <c r="S76" t="s">
        <v>819</v>
      </c>
    </row>
    <row r="77" spans="1:19" ht="15" customHeight="1" x14ac:dyDescent="0.25">
      <c r="A77" t="s">
        <v>126</v>
      </c>
      <c r="B77" t="s">
        <v>140</v>
      </c>
      <c r="C77" t="s">
        <v>137</v>
      </c>
      <c r="D77" t="s">
        <v>41</v>
      </c>
      <c r="E77" t="s">
        <v>23</v>
      </c>
      <c r="F77" t="str">
        <f t="shared" si="15"/>
        <v>/code/TS2-S2/mixtral</v>
      </c>
      <c r="G77" t="s">
        <v>1037</v>
      </c>
      <c r="H77">
        <v>124585.94871110001</v>
      </c>
      <c r="I77" t="s">
        <v>305</v>
      </c>
      <c r="J77">
        <v>11317.204456199899</v>
      </c>
      <c r="K77">
        <v>0.880131</v>
      </c>
      <c r="L77">
        <v>0.81726600000000005</v>
      </c>
      <c r="M77">
        <v>260</v>
      </c>
      <c r="N77" t="s">
        <v>25</v>
      </c>
      <c r="O77" t="s">
        <v>25</v>
      </c>
      <c r="P77">
        <v>6.2865000000000004E-2</v>
      </c>
      <c r="Q77">
        <v>20</v>
      </c>
      <c r="R77" s="4" t="s">
        <v>955</v>
      </c>
      <c r="S77" t="s">
        <v>820</v>
      </c>
    </row>
    <row r="78" spans="1:19" ht="15" customHeight="1" x14ac:dyDescent="0.25">
      <c r="A78" t="s">
        <v>126</v>
      </c>
      <c r="B78" t="s">
        <v>140</v>
      </c>
      <c r="C78" t="s">
        <v>137</v>
      </c>
      <c r="D78" t="s">
        <v>41</v>
      </c>
      <c r="E78" t="s">
        <v>48</v>
      </c>
      <c r="F78" t="str">
        <f t="shared" si="15"/>
        <v>/code/TS2-S2/mixtral</v>
      </c>
      <c r="G78" t="s">
        <v>1037</v>
      </c>
      <c r="H78">
        <v>244465.04085329999</v>
      </c>
      <c r="I78" t="s">
        <v>303</v>
      </c>
      <c r="J78">
        <v>4952.9669761999903</v>
      </c>
      <c r="K78">
        <v>0.38499699999999998</v>
      </c>
      <c r="L78">
        <v>0.35749799999999998</v>
      </c>
      <c r="M78">
        <v>260</v>
      </c>
      <c r="N78" t="s">
        <v>25</v>
      </c>
      <c r="O78" t="s">
        <v>25</v>
      </c>
      <c r="P78">
        <v>2.7498999999999999E-2</v>
      </c>
      <c r="Q78">
        <v>20</v>
      </c>
      <c r="R78" s="4" t="s">
        <v>956</v>
      </c>
      <c r="S78" t="s">
        <v>821</v>
      </c>
    </row>
    <row r="79" spans="1:19" ht="15" customHeight="1" x14ac:dyDescent="0.25">
      <c r="A79" t="s">
        <v>126</v>
      </c>
      <c r="B79" t="s">
        <v>140</v>
      </c>
      <c r="C79" t="s">
        <v>137</v>
      </c>
      <c r="D79" t="s">
        <v>41</v>
      </c>
      <c r="E79" t="s">
        <v>48</v>
      </c>
      <c r="F79" t="str">
        <f t="shared" si="15"/>
        <v>/code/TS2-S2/mixtral</v>
      </c>
      <c r="G79" t="s">
        <v>1037</v>
      </c>
      <c r="H79">
        <v>244465.04085329999</v>
      </c>
      <c r="I79" t="s">
        <v>304</v>
      </c>
      <c r="J79">
        <v>4913.12409689999</v>
      </c>
      <c r="K79">
        <v>0.38183099999999998</v>
      </c>
      <c r="L79">
        <v>0.35455799999999998</v>
      </c>
      <c r="M79">
        <v>260</v>
      </c>
      <c r="N79" t="s">
        <v>25</v>
      </c>
      <c r="O79" t="s">
        <v>25</v>
      </c>
      <c r="P79">
        <v>2.7272999999999999E-2</v>
      </c>
      <c r="Q79">
        <v>20</v>
      </c>
      <c r="R79" s="4" t="s">
        <v>957</v>
      </c>
      <c r="S79" t="s">
        <v>822</v>
      </c>
    </row>
    <row r="80" spans="1:19" ht="15" customHeight="1" x14ac:dyDescent="0.25">
      <c r="A80" t="s">
        <v>126</v>
      </c>
      <c r="B80" t="s">
        <v>140</v>
      </c>
      <c r="C80" t="s">
        <v>137</v>
      </c>
      <c r="D80" t="s">
        <v>41</v>
      </c>
      <c r="E80" t="s">
        <v>48</v>
      </c>
      <c r="F80" t="str">
        <f t="shared" si="15"/>
        <v>/code/TS2-S2/mixtral</v>
      </c>
      <c r="G80" t="s">
        <v>1037</v>
      </c>
      <c r="H80">
        <v>244465.04085329999</v>
      </c>
      <c r="I80" t="s">
        <v>305</v>
      </c>
      <c r="J80">
        <v>5058.6378377000001</v>
      </c>
      <c r="K80">
        <v>0.39324199999999998</v>
      </c>
      <c r="L80">
        <v>0.36515399999999998</v>
      </c>
      <c r="M80">
        <v>260</v>
      </c>
      <c r="N80" t="s">
        <v>25</v>
      </c>
      <c r="O80" t="s">
        <v>25</v>
      </c>
      <c r="P80">
        <v>2.8087999999999998E-2</v>
      </c>
      <c r="Q80">
        <v>20</v>
      </c>
      <c r="R80" s="4" t="s">
        <v>958</v>
      </c>
      <c r="S80" t="s">
        <v>823</v>
      </c>
    </row>
    <row r="81" spans="1:19" ht="15" customHeight="1" x14ac:dyDescent="0.25"/>
    <row r="82" spans="1:19" ht="15" customHeight="1" x14ac:dyDescent="0.25"/>
    <row r="83" spans="1:19" ht="15" customHeight="1" x14ac:dyDescent="0.25">
      <c r="A83" t="s">
        <v>164</v>
      </c>
      <c r="B83" t="s">
        <v>202</v>
      </c>
      <c r="C83" t="s">
        <v>73</v>
      </c>
      <c r="D83" t="s">
        <v>41</v>
      </c>
      <c r="E83" t="s">
        <v>23</v>
      </c>
      <c r="F83" t="str">
        <f>"/code/TS3-"&amp;D83&amp;"/lexrank"</f>
        <v>/code/TS3-S2/lexrank</v>
      </c>
      <c r="G83" t="s">
        <v>166</v>
      </c>
      <c r="H83">
        <v>1.9445324080006601</v>
      </c>
      <c r="I83" t="s">
        <v>303</v>
      </c>
      <c r="J83">
        <v>1.904622705</v>
      </c>
      <c r="K83">
        <v>5.0000000000000004E-6</v>
      </c>
      <c r="L83">
        <v>3.0000000000000001E-6</v>
      </c>
      <c r="M83">
        <v>32.5</v>
      </c>
      <c r="N83" t="s">
        <v>25</v>
      </c>
      <c r="O83" t="s">
        <v>25</v>
      </c>
      <c r="P83">
        <v>1.9999999999999999E-6</v>
      </c>
      <c r="Q83">
        <v>20</v>
      </c>
      <c r="R83" s="4" t="s">
        <v>959</v>
      </c>
      <c r="S83" t="s">
        <v>824</v>
      </c>
    </row>
    <row r="84" spans="1:19" ht="15" customHeight="1" x14ac:dyDescent="0.25">
      <c r="A84" t="s">
        <v>164</v>
      </c>
      <c r="B84" t="s">
        <v>202</v>
      </c>
      <c r="C84" t="s">
        <v>73</v>
      </c>
      <c r="D84" t="s">
        <v>41</v>
      </c>
      <c r="E84" t="s">
        <v>23</v>
      </c>
      <c r="F84" t="str">
        <f>"/code/TS3-"&amp;D84&amp;"/lexrank"</f>
        <v>/code/TS3-S2/lexrank</v>
      </c>
      <c r="G84" t="s">
        <v>166</v>
      </c>
      <c r="H84">
        <v>1.9445324080006601</v>
      </c>
      <c r="I84" t="s">
        <v>304</v>
      </c>
      <c r="J84">
        <v>1.90153780399999</v>
      </c>
      <c r="K84">
        <v>5.0000000000000004E-6</v>
      </c>
      <c r="L84">
        <v>3.0000000000000001E-6</v>
      </c>
      <c r="M84">
        <v>32.5</v>
      </c>
      <c r="N84" t="s">
        <v>25</v>
      </c>
      <c r="O84" t="s">
        <v>25</v>
      </c>
      <c r="P84">
        <v>1.9999999999999999E-6</v>
      </c>
      <c r="Q84">
        <v>20</v>
      </c>
      <c r="R84" s="4" t="s">
        <v>960</v>
      </c>
      <c r="S84" t="s">
        <v>825</v>
      </c>
    </row>
    <row r="85" spans="1:19" ht="15" customHeight="1" x14ac:dyDescent="0.25">
      <c r="A85" t="s">
        <v>164</v>
      </c>
      <c r="B85" t="s">
        <v>202</v>
      </c>
      <c r="C85" t="s">
        <v>73</v>
      </c>
      <c r="D85" t="s">
        <v>41</v>
      </c>
      <c r="E85" t="s">
        <v>23</v>
      </c>
      <c r="F85" t="str">
        <f>"/code/TS3-"&amp;D85&amp;"/lexrank"</f>
        <v>/code/TS3-S2/lexrank</v>
      </c>
      <c r="G85" t="s">
        <v>166</v>
      </c>
      <c r="H85">
        <v>1.9445324080006601</v>
      </c>
      <c r="I85" t="s">
        <v>305</v>
      </c>
      <c r="J85">
        <v>1.9069171189999901</v>
      </c>
      <c r="K85">
        <v>5.0000000000000004E-6</v>
      </c>
      <c r="L85">
        <v>3.0000000000000001E-6</v>
      </c>
      <c r="M85">
        <v>32.5</v>
      </c>
      <c r="N85" t="s">
        <v>25</v>
      </c>
      <c r="O85" t="s">
        <v>25</v>
      </c>
      <c r="P85">
        <v>1.9999999999999999E-6</v>
      </c>
      <c r="Q85">
        <v>20</v>
      </c>
      <c r="R85" s="4" t="s">
        <v>961</v>
      </c>
      <c r="S85" t="s">
        <v>826</v>
      </c>
    </row>
    <row r="86" spans="1:19" ht="15" customHeight="1" x14ac:dyDescent="0.25">
      <c r="A86" t="s">
        <v>164</v>
      </c>
      <c r="B86" t="s">
        <v>202</v>
      </c>
      <c r="C86" t="s">
        <v>73</v>
      </c>
      <c r="D86" t="s">
        <v>41</v>
      </c>
      <c r="E86" t="s">
        <v>23</v>
      </c>
      <c r="F86" t="str">
        <f t="shared" ref="F86" si="16">"/code/TS3-"&amp;D86&amp;"/lexrank"</f>
        <v>/code/TS3-S2/lexrank</v>
      </c>
      <c r="G86" t="s">
        <v>169</v>
      </c>
      <c r="H86">
        <v>1.7822837049970901</v>
      </c>
      <c r="I86" t="s">
        <v>303</v>
      </c>
      <c r="J86">
        <v>1.832614964</v>
      </c>
      <c r="K86">
        <v>3.0000000000000001E-6</v>
      </c>
      <c r="L86">
        <v>1.9999999999999999E-6</v>
      </c>
      <c r="M86">
        <v>32.5</v>
      </c>
      <c r="N86" t="s">
        <v>25</v>
      </c>
      <c r="O86" t="s">
        <v>25</v>
      </c>
      <c r="P86">
        <v>9.9999999999999995E-7</v>
      </c>
      <c r="Q86">
        <v>20</v>
      </c>
      <c r="R86" s="4" t="s">
        <v>962</v>
      </c>
      <c r="S86" t="s">
        <v>827</v>
      </c>
    </row>
    <row r="87" spans="1:19" ht="15" customHeight="1" x14ac:dyDescent="0.25">
      <c r="A87" t="s">
        <v>164</v>
      </c>
      <c r="B87" t="s">
        <v>202</v>
      </c>
      <c r="C87" t="s">
        <v>73</v>
      </c>
      <c r="D87" t="s">
        <v>41</v>
      </c>
      <c r="E87" t="s">
        <v>23</v>
      </c>
      <c r="F87" t="str">
        <f t="shared" ref="F87" si="17">"/code/TS3-"&amp;D87&amp;"/lexrank"</f>
        <v>/code/TS3-S2/lexrank</v>
      </c>
      <c r="G87" t="s">
        <v>169</v>
      </c>
      <c r="H87">
        <v>1.7822837049970901</v>
      </c>
      <c r="I87" t="s">
        <v>304</v>
      </c>
      <c r="J87">
        <v>1.7635053599999899</v>
      </c>
      <c r="K87">
        <v>3.0000000000000001E-6</v>
      </c>
      <c r="L87">
        <v>1.9999999999999999E-6</v>
      </c>
      <c r="M87">
        <v>32.5</v>
      </c>
      <c r="N87" t="s">
        <v>25</v>
      </c>
      <c r="O87" t="s">
        <v>25</v>
      </c>
      <c r="P87">
        <v>9.9999999999999995E-7</v>
      </c>
      <c r="Q87">
        <v>20</v>
      </c>
      <c r="R87" s="4" t="s">
        <v>963</v>
      </c>
      <c r="S87" t="s">
        <v>828</v>
      </c>
    </row>
    <row r="88" spans="1:19" ht="15" customHeight="1" x14ac:dyDescent="0.25">
      <c r="A88" t="s">
        <v>164</v>
      </c>
      <c r="B88" t="s">
        <v>202</v>
      </c>
      <c r="C88" t="s">
        <v>73</v>
      </c>
      <c r="D88" t="s">
        <v>41</v>
      </c>
      <c r="E88" t="s">
        <v>23</v>
      </c>
      <c r="F88" t="str">
        <f t="shared" ref="F88:F97" si="18">"/code/TS3-"&amp;D88&amp;"/lexrank"</f>
        <v>/code/TS3-S2/lexrank</v>
      </c>
      <c r="G88" t="s">
        <v>169</v>
      </c>
      <c r="H88">
        <v>1.7822837049970901</v>
      </c>
      <c r="I88" t="s">
        <v>305</v>
      </c>
      <c r="J88">
        <v>1.79230164699998</v>
      </c>
      <c r="K88">
        <v>3.9999999999999998E-6</v>
      </c>
      <c r="L88">
        <v>1.9999999999999999E-6</v>
      </c>
      <c r="M88">
        <v>32.5</v>
      </c>
      <c r="N88" t="s">
        <v>25</v>
      </c>
      <c r="O88" t="s">
        <v>25</v>
      </c>
      <c r="P88">
        <v>9.9999999999999995E-7</v>
      </c>
      <c r="Q88">
        <v>20</v>
      </c>
      <c r="R88" s="4" t="s">
        <v>964</v>
      </c>
      <c r="S88" t="s">
        <v>829</v>
      </c>
    </row>
    <row r="89" spans="1:19" ht="15" customHeight="1" x14ac:dyDescent="0.25">
      <c r="A89" t="s">
        <v>164</v>
      </c>
      <c r="B89" t="s">
        <v>202</v>
      </c>
      <c r="C89" t="s">
        <v>73</v>
      </c>
      <c r="D89" t="s">
        <v>41</v>
      </c>
      <c r="E89" t="s">
        <v>23</v>
      </c>
      <c r="F89" t="str">
        <f t="shared" si="18"/>
        <v>/code/TS3-S2/lexrank</v>
      </c>
      <c r="G89" t="s">
        <v>172</v>
      </c>
      <c r="H89">
        <v>3.5010544339966101</v>
      </c>
      <c r="I89" t="s">
        <v>303</v>
      </c>
      <c r="J89">
        <v>3.3684367019999901</v>
      </c>
      <c r="K89">
        <v>2.5999999999999998E-5</v>
      </c>
      <c r="L89">
        <v>1.5999999999999999E-5</v>
      </c>
      <c r="M89">
        <v>32.5</v>
      </c>
      <c r="N89" t="s">
        <v>25</v>
      </c>
      <c r="O89" t="s">
        <v>25</v>
      </c>
      <c r="P89">
        <v>1.0000000000000001E-5</v>
      </c>
      <c r="Q89">
        <v>20</v>
      </c>
      <c r="R89" s="4" t="s">
        <v>965</v>
      </c>
      <c r="S89" t="s">
        <v>830</v>
      </c>
    </row>
    <row r="90" spans="1:19" ht="15" customHeight="1" x14ac:dyDescent="0.25">
      <c r="A90" t="s">
        <v>164</v>
      </c>
      <c r="B90" t="s">
        <v>202</v>
      </c>
      <c r="C90" t="s">
        <v>73</v>
      </c>
      <c r="D90" t="s">
        <v>41</v>
      </c>
      <c r="E90" t="s">
        <v>23</v>
      </c>
      <c r="F90" t="str">
        <f t="shared" ref="F90" si="19">"/code/TS3-"&amp;D90&amp;"/lexrank"</f>
        <v>/code/TS3-S2/lexrank</v>
      </c>
      <c r="G90" t="s">
        <v>172</v>
      </c>
      <c r="H90">
        <v>3.5010544339966101</v>
      </c>
      <c r="I90" t="s">
        <v>304</v>
      </c>
      <c r="J90">
        <v>3.3120906139999899</v>
      </c>
      <c r="K90">
        <v>2.5999999999999998E-5</v>
      </c>
      <c r="L90">
        <v>1.5999999999999999E-5</v>
      </c>
      <c r="M90">
        <v>32.5</v>
      </c>
      <c r="N90" t="s">
        <v>25</v>
      </c>
      <c r="O90" t="s">
        <v>25</v>
      </c>
      <c r="P90">
        <v>1.0000000000000001E-5</v>
      </c>
      <c r="Q90">
        <v>20</v>
      </c>
      <c r="R90" s="4" t="s">
        <v>966</v>
      </c>
      <c r="S90" t="s">
        <v>831</v>
      </c>
    </row>
    <row r="91" spans="1:19" ht="15" customHeight="1" x14ac:dyDescent="0.25">
      <c r="A91" t="s">
        <v>164</v>
      </c>
      <c r="B91" t="s">
        <v>202</v>
      </c>
      <c r="C91" t="s">
        <v>73</v>
      </c>
      <c r="D91" t="s">
        <v>41</v>
      </c>
      <c r="E91" t="s">
        <v>23</v>
      </c>
      <c r="F91" t="str">
        <f t="shared" si="18"/>
        <v>/code/TS3-S2/lexrank</v>
      </c>
      <c r="G91" t="s">
        <v>172</v>
      </c>
      <c r="H91">
        <v>3.5010544339966101</v>
      </c>
      <c r="I91" t="s">
        <v>305</v>
      </c>
      <c r="J91">
        <v>3.3444518429999799</v>
      </c>
      <c r="K91">
        <v>2.5999999999999998E-5</v>
      </c>
      <c r="L91">
        <v>1.5999999999999999E-5</v>
      </c>
      <c r="M91">
        <v>32.5</v>
      </c>
      <c r="N91" t="s">
        <v>25</v>
      </c>
      <c r="O91" t="s">
        <v>25</v>
      </c>
      <c r="P91">
        <v>1.0000000000000001E-5</v>
      </c>
      <c r="Q91">
        <v>20</v>
      </c>
      <c r="R91" s="4" t="s">
        <v>967</v>
      </c>
      <c r="S91" t="s">
        <v>832</v>
      </c>
    </row>
    <row r="92" spans="1:19" ht="15" customHeight="1" x14ac:dyDescent="0.25">
      <c r="A92" t="s">
        <v>164</v>
      </c>
      <c r="B92" t="s">
        <v>202</v>
      </c>
      <c r="C92" t="s">
        <v>73</v>
      </c>
      <c r="D92" t="s">
        <v>41</v>
      </c>
      <c r="E92" t="s">
        <v>23</v>
      </c>
      <c r="F92" t="str">
        <f t="shared" si="18"/>
        <v>/code/TS3-S2/lexrank</v>
      </c>
      <c r="G92" t="s">
        <v>175</v>
      </c>
      <c r="H92">
        <v>4.2705504740006202</v>
      </c>
      <c r="I92" t="s">
        <v>303</v>
      </c>
      <c r="J92">
        <v>4.4116307040000002</v>
      </c>
      <c r="K92">
        <v>4.1999999999999998E-5</v>
      </c>
      <c r="L92">
        <v>2.5999999999999998E-5</v>
      </c>
      <c r="M92">
        <v>32.5</v>
      </c>
      <c r="N92" t="s">
        <v>25</v>
      </c>
      <c r="O92" t="s">
        <v>25</v>
      </c>
      <c r="P92">
        <v>1.5999999999999999E-5</v>
      </c>
      <c r="Q92">
        <v>20</v>
      </c>
      <c r="R92" s="4" t="s">
        <v>968</v>
      </c>
      <c r="S92" t="s">
        <v>833</v>
      </c>
    </row>
    <row r="93" spans="1:19" ht="15" customHeight="1" x14ac:dyDescent="0.25">
      <c r="A93" t="s">
        <v>164</v>
      </c>
      <c r="B93" t="s">
        <v>202</v>
      </c>
      <c r="C93" t="s">
        <v>73</v>
      </c>
      <c r="D93" t="s">
        <v>41</v>
      </c>
      <c r="E93" t="s">
        <v>23</v>
      </c>
      <c r="F93" t="str">
        <f t="shared" ref="F93" si="20">"/code/TS3-"&amp;D93&amp;"/lexrank"</f>
        <v>/code/TS3-S2/lexrank</v>
      </c>
      <c r="G93" t="s">
        <v>175</v>
      </c>
      <c r="H93">
        <v>4.2705504740006202</v>
      </c>
      <c r="I93" t="s">
        <v>304</v>
      </c>
      <c r="J93">
        <v>4.2243941149999902</v>
      </c>
      <c r="K93">
        <v>3.8999999999999999E-5</v>
      </c>
      <c r="L93">
        <v>2.4000000000000001E-5</v>
      </c>
      <c r="M93">
        <v>32.5</v>
      </c>
      <c r="N93" t="s">
        <v>25</v>
      </c>
      <c r="O93" t="s">
        <v>25</v>
      </c>
      <c r="P93">
        <v>1.5E-5</v>
      </c>
      <c r="Q93">
        <v>20</v>
      </c>
      <c r="R93" s="4" t="s">
        <v>969</v>
      </c>
      <c r="S93" t="s">
        <v>834</v>
      </c>
    </row>
    <row r="94" spans="1:19" ht="15" customHeight="1" x14ac:dyDescent="0.25">
      <c r="A94" t="s">
        <v>164</v>
      </c>
      <c r="B94" t="s">
        <v>202</v>
      </c>
      <c r="C94" t="s">
        <v>73</v>
      </c>
      <c r="D94" t="s">
        <v>41</v>
      </c>
      <c r="E94" t="s">
        <v>23</v>
      </c>
      <c r="F94" t="str">
        <f t="shared" ref="F94" si="21">"/code/TS3-"&amp;D94&amp;"/lexrank"</f>
        <v>/code/TS3-S2/lexrank</v>
      </c>
      <c r="G94" t="s">
        <v>175</v>
      </c>
      <c r="H94">
        <v>4.2705504740006202</v>
      </c>
      <c r="I94" t="s">
        <v>305</v>
      </c>
      <c r="J94">
        <v>4.2066941029999896</v>
      </c>
      <c r="K94">
        <v>3.8999999999999999E-5</v>
      </c>
      <c r="L94">
        <v>2.4000000000000001E-5</v>
      </c>
      <c r="M94">
        <v>32.5</v>
      </c>
      <c r="N94" t="s">
        <v>25</v>
      </c>
      <c r="O94" t="s">
        <v>25</v>
      </c>
      <c r="P94">
        <v>1.5E-5</v>
      </c>
      <c r="Q94">
        <v>20</v>
      </c>
      <c r="R94" s="4" t="s">
        <v>970</v>
      </c>
      <c r="S94" t="s">
        <v>835</v>
      </c>
    </row>
    <row r="95" spans="1:19" ht="15" customHeight="1" x14ac:dyDescent="0.25">
      <c r="A95" t="s">
        <v>164</v>
      </c>
      <c r="B95" t="s">
        <v>202</v>
      </c>
      <c r="C95" t="s">
        <v>73</v>
      </c>
      <c r="D95" t="s">
        <v>41</v>
      </c>
      <c r="E95" t="s">
        <v>23</v>
      </c>
      <c r="F95" t="str">
        <f t="shared" si="18"/>
        <v>/code/TS3-S2/lexrank</v>
      </c>
      <c r="G95" t="s">
        <v>178</v>
      </c>
      <c r="H95">
        <v>2.1529940680047699</v>
      </c>
      <c r="I95" t="s">
        <v>303</v>
      </c>
      <c r="J95">
        <v>2.1454431200000101</v>
      </c>
      <c r="K95">
        <v>9.0000000000000002E-6</v>
      </c>
      <c r="L95">
        <v>5.0000000000000004E-6</v>
      </c>
      <c r="M95">
        <v>32.5</v>
      </c>
      <c r="N95" t="s">
        <v>25</v>
      </c>
      <c r="O95" t="s">
        <v>25</v>
      </c>
      <c r="P95">
        <v>3.0000000000000001E-6</v>
      </c>
      <c r="Q95">
        <v>20</v>
      </c>
      <c r="R95" s="4" t="s">
        <v>971</v>
      </c>
      <c r="S95" t="s">
        <v>836</v>
      </c>
    </row>
    <row r="96" spans="1:19" ht="15" customHeight="1" x14ac:dyDescent="0.25">
      <c r="A96" t="s">
        <v>164</v>
      </c>
      <c r="B96" t="s">
        <v>202</v>
      </c>
      <c r="C96" t="s">
        <v>73</v>
      </c>
      <c r="D96" t="s">
        <v>41</v>
      </c>
      <c r="E96" t="s">
        <v>23</v>
      </c>
      <c r="F96" t="str">
        <f t="shared" ref="F96" si="22">"/code/TS3-"&amp;D96&amp;"/lexrank"</f>
        <v>/code/TS3-S2/lexrank</v>
      </c>
      <c r="G96" t="s">
        <v>178</v>
      </c>
      <c r="H96">
        <v>2.1529940680047699</v>
      </c>
      <c r="I96" t="s">
        <v>304</v>
      </c>
      <c r="J96">
        <v>2.1469888599999898</v>
      </c>
      <c r="K96">
        <v>9.0000000000000002E-6</v>
      </c>
      <c r="L96">
        <v>5.0000000000000004E-6</v>
      </c>
      <c r="M96">
        <v>32.5</v>
      </c>
      <c r="N96" t="s">
        <v>25</v>
      </c>
      <c r="O96" t="s">
        <v>25</v>
      </c>
      <c r="P96">
        <v>3.0000000000000001E-6</v>
      </c>
      <c r="Q96">
        <v>20</v>
      </c>
      <c r="R96" s="4" t="s">
        <v>972</v>
      </c>
      <c r="S96" t="s">
        <v>837</v>
      </c>
    </row>
    <row r="97" spans="1:19" ht="15" customHeight="1" x14ac:dyDescent="0.25">
      <c r="A97" t="s">
        <v>164</v>
      </c>
      <c r="B97" t="s">
        <v>202</v>
      </c>
      <c r="C97" t="s">
        <v>73</v>
      </c>
      <c r="D97" t="s">
        <v>41</v>
      </c>
      <c r="E97" t="s">
        <v>23</v>
      </c>
      <c r="F97" t="str">
        <f t="shared" si="18"/>
        <v>/code/TS3-S2/lexrank</v>
      </c>
      <c r="G97" t="s">
        <v>178</v>
      </c>
      <c r="H97">
        <v>2.1529940680047699</v>
      </c>
      <c r="I97" t="s">
        <v>305</v>
      </c>
      <c r="J97">
        <v>2.1494996369999901</v>
      </c>
      <c r="K97">
        <v>9.0000000000000002E-6</v>
      </c>
      <c r="L97">
        <v>5.0000000000000004E-6</v>
      </c>
      <c r="M97">
        <v>32.5</v>
      </c>
      <c r="N97" t="s">
        <v>25</v>
      </c>
      <c r="O97" t="s">
        <v>25</v>
      </c>
      <c r="P97">
        <v>3.0000000000000001E-6</v>
      </c>
      <c r="Q97">
        <v>20</v>
      </c>
      <c r="R97" s="4" t="s">
        <v>973</v>
      </c>
      <c r="S97" t="s">
        <v>838</v>
      </c>
    </row>
    <row r="98" spans="1:19" ht="15" customHeight="1" x14ac:dyDescent="0.25">
      <c r="A98" t="s">
        <v>164</v>
      </c>
      <c r="B98" t="s">
        <v>202</v>
      </c>
      <c r="C98" t="s">
        <v>134</v>
      </c>
      <c r="D98" t="s">
        <v>41</v>
      </c>
      <c r="E98" t="s">
        <v>23</v>
      </c>
      <c r="F98" t="str">
        <f t="shared" ref="F98" si="23">"/code/TS3-"&amp;D98&amp;"/mlongt5"</f>
        <v>/code/TS3-S2/mlongt5</v>
      </c>
      <c r="G98" t="s">
        <v>166</v>
      </c>
      <c r="H98">
        <v>349.305048591</v>
      </c>
      <c r="I98" t="s">
        <v>303</v>
      </c>
      <c r="J98">
        <v>347.35130860799899</v>
      </c>
      <c r="K98">
        <v>5.0460000000000001E-3</v>
      </c>
      <c r="L98">
        <v>3.124E-3</v>
      </c>
      <c r="M98">
        <v>32.5</v>
      </c>
      <c r="N98" t="s">
        <v>25</v>
      </c>
      <c r="O98" t="s">
        <v>25</v>
      </c>
      <c r="P98">
        <v>1.9220000000000001E-3</v>
      </c>
      <c r="Q98">
        <v>20</v>
      </c>
      <c r="R98" s="4" t="s">
        <v>974</v>
      </c>
      <c r="S98" t="s">
        <v>839</v>
      </c>
    </row>
    <row r="99" spans="1:19" ht="15" customHeight="1" x14ac:dyDescent="0.25">
      <c r="A99" t="s">
        <v>164</v>
      </c>
      <c r="B99" t="s">
        <v>202</v>
      </c>
      <c r="C99" t="s">
        <v>134</v>
      </c>
      <c r="D99" t="s">
        <v>41</v>
      </c>
      <c r="E99" t="s">
        <v>23</v>
      </c>
      <c r="F99" t="str">
        <f t="shared" ref="F99" si="24">"/code/TS3-"&amp;D99&amp;"/mlongt5"</f>
        <v>/code/TS3-S2/mlongt5</v>
      </c>
      <c r="G99" t="s">
        <v>166</v>
      </c>
      <c r="H99">
        <v>349.305048591</v>
      </c>
      <c r="I99" t="s">
        <v>304</v>
      </c>
      <c r="J99">
        <v>345.78841337799997</v>
      </c>
      <c r="K99">
        <v>5.0229999999999997E-3</v>
      </c>
      <c r="L99">
        <v>3.1099999999999999E-3</v>
      </c>
      <c r="M99">
        <v>32.5</v>
      </c>
      <c r="N99" t="s">
        <v>25</v>
      </c>
      <c r="O99" t="s">
        <v>25</v>
      </c>
      <c r="P99">
        <v>1.9139999999999999E-3</v>
      </c>
      <c r="Q99">
        <v>20</v>
      </c>
      <c r="R99" s="4" t="s">
        <v>975</v>
      </c>
      <c r="S99" t="s">
        <v>840</v>
      </c>
    </row>
    <row r="100" spans="1:19" ht="15" customHeight="1" x14ac:dyDescent="0.25">
      <c r="A100" t="s">
        <v>164</v>
      </c>
      <c r="B100" t="s">
        <v>202</v>
      </c>
      <c r="C100" t="s">
        <v>134</v>
      </c>
      <c r="D100" t="s">
        <v>41</v>
      </c>
      <c r="E100" t="s">
        <v>23</v>
      </c>
      <c r="F100" t="str">
        <f t="shared" ref="F100:F127" si="25">"/code/TS3-"&amp;D100&amp;"/mlongt5"</f>
        <v>/code/TS3-S2/mlongt5</v>
      </c>
      <c r="G100" t="s">
        <v>166</v>
      </c>
      <c r="H100">
        <v>349.305048591</v>
      </c>
      <c r="I100" t="s">
        <v>305</v>
      </c>
      <c r="J100">
        <v>327.03638876699898</v>
      </c>
      <c r="K100">
        <v>4.7499999999999999E-3</v>
      </c>
      <c r="L100">
        <v>2.9399999999999999E-3</v>
      </c>
      <c r="M100">
        <v>32.5</v>
      </c>
      <c r="N100" t="s">
        <v>25</v>
      </c>
      <c r="O100" t="s">
        <v>25</v>
      </c>
      <c r="P100">
        <v>1.8090000000000001E-3</v>
      </c>
      <c r="Q100">
        <v>20</v>
      </c>
      <c r="R100" s="4" t="s">
        <v>976</v>
      </c>
      <c r="S100" t="s">
        <v>841</v>
      </c>
    </row>
    <row r="101" spans="1:19" ht="15" customHeight="1" x14ac:dyDescent="0.25">
      <c r="A101" t="s">
        <v>164</v>
      </c>
      <c r="B101" t="s">
        <v>202</v>
      </c>
      <c r="C101" t="s">
        <v>134</v>
      </c>
      <c r="D101" t="s">
        <v>41</v>
      </c>
      <c r="E101" t="s">
        <v>48</v>
      </c>
      <c r="F101" t="str">
        <f t="shared" si="25"/>
        <v>/code/TS3-S2/mlongt5</v>
      </c>
      <c r="G101" t="s">
        <v>166</v>
      </c>
      <c r="H101">
        <v>656.62848208699995</v>
      </c>
      <c r="I101" t="s">
        <v>303</v>
      </c>
      <c r="J101">
        <v>791.23069886799999</v>
      </c>
      <c r="K101">
        <v>1.1518E-2</v>
      </c>
      <c r="L101">
        <v>7.1300000000000001E-3</v>
      </c>
      <c r="M101">
        <v>32.5</v>
      </c>
      <c r="N101" t="s">
        <v>25</v>
      </c>
      <c r="O101" t="s">
        <v>25</v>
      </c>
      <c r="P101">
        <v>4.3880000000000004E-3</v>
      </c>
      <c r="Q101">
        <v>20</v>
      </c>
      <c r="R101" s="4" t="s">
        <v>977</v>
      </c>
      <c r="S101" t="s">
        <v>842</v>
      </c>
    </row>
    <row r="102" spans="1:19" ht="15" customHeight="1" x14ac:dyDescent="0.25">
      <c r="A102" t="s">
        <v>164</v>
      </c>
      <c r="B102" t="s">
        <v>202</v>
      </c>
      <c r="C102" t="s">
        <v>134</v>
      </c>
      <c r="D102" t="s">
        <v>41</v>
      </c>
      <c r="E102" t="s">
        <v>48</v>
      </c>
      <c r="F102" t="str">
        <f t="shared" ref="F102" si="26">"/code/TS3-"&amp;D102&amp;"/mlongt5"</f>
        <v>/code/TS3-S2/mlongt5</v>
      </c>
      <c r="G102" t="s">
        <v>166</v>
      </c>
      <c r="H102">
        <v>656.62848208699995</v>
      </c>
      <c r="I102" t="s">
        <v>304</v>
      </c>
      <c r="J102">
        <v>724.45301723600005</v>
      </c>
      <c r="K102">
        <v>1.0544E-2</v>
      </c>
      <c r="L102">
        <v>6.5269999999999998E-3</v>
      </c>
      <c r="M102">
        <v>32.5</v>
      </c>
      <c r="N102" t="s">
        <v>25</v>
      </c>
      <c r="O102" t="s">
        <v>25</v>
      </c>
      <c r="P102">
        <v>4.0169999999999997E-3</v>
      </c>
      <c r="Q102">
        <v>20</v>
      </c>
      <c r="R102" s="4" t="s">
        <v>978</v>
      </c>
      <c r="S102" t="s">
        <v>843</v>
      </c>
    </row>
    <row r="103" spans="1:19" ht="15" customHeight="1" x14ac:dyDescent="0.25">
      <c r="A103" t="s">
        <v>164</v>
      </c>
      <c r="B103" t="s">
        <v>202</v>
      </c>
      <c r="C103" t="s">
        <v>134</v>
      </c>
      <c r="D103" t="s">
        <v>41</v>
      </c>
      <c r="E103" t="s">
        <v>48</v>
      </c>
      <c r="F103" t="str">
        <f t="shared" si="25"/>
        <v>/code/TS3-S2/mlongt5</v>
      </c>
      <c r="G103" t="s">
        <v>166</v>
      </c>
      <c r="H103">
        <v>656.62848208699995</v>
      </c>
      <c r="I103" t="s">
        <v>305</v>
      </c>
      <c r="J103">
        <v>718.09466146199895</v>
      </c>
      <c r="K103">
        <v>1.0451999999999999E-2</v>
      </c>
      <c r="L103">
        <v>6.4700000000000001E-3</v>
      </c>
      <c r="M103">
        <v>32.5</v>
      </c>
      <c r="N103" t="s">
        <v>25</v>
      </c>
      <c r="O103" t="s">
        <v>25</v>
      </c>
      <c r="P103">
        <v>3.9820000000000003E-3</v>
      </c>
      <c r="Q103">
        <v>20</v>
      </c>
      <c r="R103" s="4" t="s">
        <v>979</v>
      </c>
      <c r="S103" t="s">
        <v>844</v>
      </c>
    </row>
    <row r="104" spans="1:19" ht="15" customHeight="1" x14ac:dyDescent="0.25">
      <c r="A104" t="s">
        <v>164</v>
      </c>
      <c r="B104" t="s">
        <v>202</v>
      </c>
      <c r="C104" t="s">
        <v>134</v>
      </c>
      <c r="D104" t="s">
        <v>41</v>
      </c>
      <c r="E104" t="s">
        <v>23</v>
      </c>
      <c r="F104" t="str">
        <f t="shared" si="25"/>
        <v>/code/TS3-S2/mlongt5</v>
      </c>
      <c r="G104" t="s">
        <v>169</v>
      </c>
      <c r="H104">
        <v>239.49105087999399</v>
      </c>
      <c r="I104" t="s">
        <v>303</v>
      </c>
      <c r="J104">
        <v>240.801289676999</v>
      </c>
      <c r="K104">
        <v>3.4919999999999999E-3</v>
      </c>
      <c r="L104">
        <v>2.1619999999999999E-3</v>
      </c>
      <c r="M104">
        <v>32.5</v>
      </c>
      <c r="N104" t="s">
        <v>25</v>
      </c>
      <c r="O104" t="s">
        <v>25</v>
      </c>
      <c r="P104">
        <v>1.33E-3</v>
      </c>
      <c r="Q104">
        <v>20</v>
      </c>
      <c r="R104" s="4" t="s">
        <v>1002</v>
      </c>
      <c r="S104" t="s">
        <v>845</v>
      </c>
    </row>
    <row r="105" spans="1:19" ht="15" customHeight="1" x14ac:dyDescent="0.25">
      <c r="A105" t="s">
        <v>164</v>
      </c>
      <c r="B105" t="s">
        <v>202</v>
      </c>
      <c r="C105" t="s">
        <v>134</v>
      </c>
      <c r="D105" t="s">
        <v>41</v>
      </c>
      <c r="E105" t="s">
        <v>23</v>
      </c>
      <c r="F105" t="str">
        <f t="shared" ref="F105" si="27">"/code/TS3-"&amp;D105&amp;"/mlongt5"</f>
        <v>/code/TS3-S2/mlongt5</v>
      </c>
      <c r="G105" t="s">
        <v>169</v>
      </c>
      <c r="H105">
        <v>239.49105087999399</v>
      </c>
      <c r="I105" t="s">
        <v>304</v>
      </c>
      <c r="J105">
        <v>241.876735736999</v>
      </c>
      <c r="K105">
        <v>3.5049999999999999E-3</v>
      </c>
      <c r="L105">
        <v>2.1700000000000001E-3</v>
      </c>
      <c r="M105">
        <v>32.5</v>
      </c>
      <c r="N105" t="s">
        <v>25</v>
      </c>
      <c r="O105" t="s">
        <v>25</v>
      </c>
      <c r="P105">
        <v>1.335E-3</v>
      </c>
      <c r="Q105">
        <v>20</v>
      </c>
      <c r="R105" s="4" t="s">
        <v>980</v>
      </c>
      <c r="S105" t="s">
        <v>846</v>
      </c>
    </row>
    <row r="106" spans="1:19" ht="15" customHeight="1" x14ac:dyDescent="0.25">
      <c r="A106" t="s">
        <v>164</v>
      </c>
      <c r="B106" t="s">
        <v>202</v>
      </c>
      <c r="C106" t="s">
        <v>134</v>
      </c>
      <c r="D106" t="s">
        <v>41</v>
      </c>
      <c r="E106" t="s">
        <v>23</v>
      </c>
      <c r="F106" t="str">
        <f t="shared" si="25"/>
        <v>/code/TS3-S2/mlongt5</v>
      </c>
      <c r="G106" t="s">
        <v>169</v>
      </c>
      <c r="H106">
        <v>239.49105087999399</v>
      </c>
      <c r="I106" t="s">
        <v>305</v>
      </c>
      <c r="J106">
        <v>249.082283044999</v>
      </c>
      <c r="K106">
        <v>3.6059999999999998E-3</v>
      </c>
      <c r="L106">
        <v>2.232E-3</v>
      </c>
      <c r="M106">
        <v>32.5</v>
      </c>
      <c r="N106" t="s">
        <v>25</v>
      </c>
      <c r="O106" t="s">
        <v>25</v>
      </c>
      <c r="P106">
        <v>1.374E-3</v>
      </c>
      <c r="Q106">
        <v>20</v>
      </c>
      <c r="R106" s="4" t="s">
        <v>981</v>
      </c>
      <c r="S106" t="s">
        <v>847</v>
      </c>
    </row>
    <row r="107" spans="1:19" ht="15" customHeight="1" x14ac:dyDescent="0.25">
      <c r="A107" t="s">
        <v>164</v>
      </c>
      <c r="B107" t="s">
        <v>202</v>
      </c>
      <c r="C107" t="s">
        <v>134</v>
      </c>
      <c r="D107" t="s">
        <v>41</v>
      </c>
      <c r="E107" t="s">
        <v>48</v>
      </c>
      <c r="F107" t="str">
        <f t="shared" si="25"/>
        <v>/code/TS3-S2/mlongt5</v>
      </c>
      <c r="G107" t="s">
        <v>169</v>
      </c>
      <c r="H107">
        <v>240.61095636399801</v>
      </c>
      <c r="I107" t="s">
        <v>303</v>
      </c>
      <c r="J107">
        <v>236.80999062199899</v>
      </c>
      <c r="K107">
        <v>3.4329999999999999E-3</v>
      </c>
      <c r="L107">
        <v>2.1250000000000002E-3</v>
      </c>
      <c r="M107">
        <v>32.5</v>
      </c>
      <c r="N107" t="s">
        <v>25</v>
      </c>
      <c r="O107" t="s">
        <v>25</v>
      </c>
      <c r="P107">
        <v>1.3079999999999999E-3</v>
      </c>
      <c r="Q107">
        <v>20</v>
      </c>
      <c r="R107" s="4" t="s">
        <v>982</v>
      </c>
      <c r="S107" t="s">
        <v>848</v>
      </c>
    </row>
    <row r="108" spans="1:19" ht="15" customHeight="1" x14ac:dyDescent="0.25">
      <c r="A108" t="s">
        <v>164</v>
      </c>
      <c r="B108" t="s">
        <v>202</v>
      </c>
      <c r="C108" t="s">
        <v>134</v>
      </c>
      <c r="D108" t="s">
        <v>41</v>
      </c>
      <c r="E108" t="s">
        <v>48</v>
      </c>
      <c r="F108" t="str">
        <f t="shared" ref="F108" si="28">"/code/TS3-"&amp;D108&amp;"/mlongt5"</f>
        <v>/code/TS3-S2/mlongt5</v>
      </c>
      <c r="G108" t="s">
        <v>169</v>
      </c>
      <c r="H108">
        <v>240.61095636399801</v>
      </c>
      <c r="I108" t="s">
        <v>304</v>
      </c>
      <c r="J108">
        <v>235.372199520999</v>
      </c>
      <c r="K108">
        <v>3.4120000000000001E-3</v>
      </c>
      <c r="L108">
        <v>2.1120000000000002E-3</v>
      </c>
      <c r="M108">
        <v>32.5</v>
      </c>
      <c r="N108" t="s">
        <v>25</v>
      </c>
      <c r="O108" t="s">
        <v>25</v>
      </c>
      <c r="P108">
        <v>1.2999999999999999E-3</v>
      </c>
      <c r="Q108">
        <v>20</v>
      </c>
      <c r="R108" s="4" t="s">
        <v>983</v>
      </c>
      <c r="S108" t="s">
        <v>849</v>
      </c>
    </row>
    <row r="109" spans="1:19" ht="15" customHeight="1" x14ac:dyDescent="0.25">
      <c r="A109" t="s">
        <v>164</v>
      </c>
      <c r="B109" t="s">
        <v>202</v>
      </c>
      <c r="C109" t="s">
        <v>134</v>
      </c>
      <c r="D109" t="s">
        <v>41</v>
      </c>
      <c r="E109" t="s">
        <v>48</v>
      </c>
      <c r="F109" t="str">
        <f t="shared" si="25"/>
        <v>/code/TS3-S2/mlongt5</v>
      </c>
      <c r="G109" t="s">
        <v>169</v>
      </c>
      <c r="H109">
        <v>240.61095636399801</v>
      </c>
      <c r="I109" t="s">
        <v>305</v>
      </c>
      <c r="J109">
        <v>241.03116315399799</v>
      </c>
      <c r="K109">
        <v>3.4940000000000001E-3</v>
      </c>
      <c r="L109">
        <v>2.163E-3</v>
      </c>
      <c r="M109">
        <v>32.5</v>
      </c>
      <c r="N109" t="s">
        <v>25</v>
      </c>
      <c r="O109" t="s">
        <v>25</v>
      </c>
      <c r="P109">
        <v>1.3309999999999999E-3</v>
      </c>
      <c r="Q109">
        <v>20</v>
      </c>
      <c r="R109" s="4" t="s">
        <v>984</v>
      </c>
      <c r="S109" t="s">
        <v>850</v>
      </c>
    </row>
    <row r="110" spans="1:19" ht="15" customHeight="1" x14ac:dyDescent="0.25">
      <c r="A110" t="s">
        <v>164</v>
      </c>
      <c r="B110" t="s">
        <v>202</v>
      </c>
      <c r="C110" t="s">
        <v>134</v>
      </c>
      <c r="D110" t="s">
        <v>41</v>
      </c>
      <c r="E110" t="s">
        <v>23</v>
      </c>
      <c r="F110" t="str">
        <f t="shared" si="25"/>
        <v>/code/TS3-S2/mlongt5</v>
      </c>
      <c r="G110" t="s">
        <v>172</v>
      </c>
      <c r="H110">
        <v>688.35381370000596</v>
      </c>
      <c r="I110" t="s">
        <v>303</v>
      </c>
      <c r="J110">
        <v>843.04715896499999</v>
      </c>
      <c r="K110">
        <v>1.2274E-2</v>
      </c>
      <c r="L110">
        <v>7.5989999999999999E-3</v>
      </c>
      <c r="M110">
        <v>32.5</v>
      </c>
      <c r="N110" t="s">
        <v>25</v>
      </c>
      <c r="O110" t="s">
        <v>25</v>
      </c>
      <c r="P110">
        <v>4.6759999999999996E-3</v>
      </c>
      <c r="Q110">
        <v>20</v>
      </c>
      <c r="R110" s="4" t="s">
        <v>985</v>
      </c>
      <c r="S110" t="s">
        <v>851</v>
      </c>
    </row>
    <row r="111" spans="1:19" ht="15" customHeight="1" x14ac:dyDescent="0.25">
      <c r="A111" t="s">
        <v>164</v>
      </c>
      <c r="B111" t="s">
        <v>202</v>
      </c>
      <c r="C111" t="s">
        <v>134</v>
      </c>
      <c r="D111" t="s">
        <v>41</v>
      </c>
      <c r="E111" t="s">
        <v>23</v>
      </c>
      <c r="F111" t="str">
        <f t="shared" ref="F111" si="29">"/code/TS3-"&amp;D111&amp;"/mlongt5"</f>
        <v>/code/TS3-S2/mlongt5</v>
      </c>
      <c r="G111" t="s">
        <v>172</v>
      </c>
      <c r="H111">
        <v>688.35381370000596</v>
      </c>
      <c r="I111" t="s">
        <v>304</v>
      </c>
      <c r="J111">
        <v>871.07943479699804</v>
      </c>
      <c r="K111">
        <v>1.2683E-2</v>
      </c>
      <c r="L111">
        <v>7.8519999999999996E-3</v>
      </c>
      <c r="M111">
        <v>32.5</v>
      </c>
      <c r="N111" t="s">
        <v>25</v>
      </c>
      <c r="O111" t="s">
        <v>25</v>
      </c>
      <c r="P111">
        <v>4.8320000000000004E-3</v>
      </c>
      <c r="Q111">
        <v>20</v>
      </c>
      <c r="R111" s="4" t="s">
        <v>986</v>
      </c>
      <c r="S111" t="s">
        <v>852</v>
      </c>
    </row>
    <row r="112" spans="1:19" ht="15" customHeight="1" x14ac:dyDescent="0.25">
      <c r="A112" t="s">
        <v>164</v>
      </c>
      <c r="B112" t="s">
        <v>202</v>
      </c>
      <c r="C112" t="s">
        <v>134</v>
      </c>
      <c r="D112" t="s">
        <v>41</v>
      </c>
      <c r="E112" t="s">
        <v>23</v>
      </c>
      <c r="F112" t="str">
        <f t="shared" si="25"/>
        <v>/code/TS3-S2/mlongt5</v>
      </c>
      <c r="G112" t="s">
        <v>172</v>
      </c>
      <c r="H112">
        <v>688.35381370000596</v>
      </c>
      <c r="I112" t="s">
        <v>305</v>
      </c>
      <c r="J112">
        <v>886.48676384199996</v>
      </c>
      <c r="K112">
        <v>1.2907999999999999E-2</v>
      </c>
      <c r="L112">
        <v>7.9909999999999998E-3</v>
      </c>
      <c r="M112">
        <v>32.5</v>
      </c>
      <c r="N112" t="s">
        <v>25</v>
      </c>
      <c r="O112" t="s">
        <v>25</v>
      </c>
      <c r="P112">
        <v>4.9170000000000004E-3</v>
      </c>
      <c r="Q112">
        <v>20</v>
      </c>
      <c r="R112" s="4" t="s">
        <v>987</v>
      </c>
      <c r="S112" t="s">
        <v>853</v>
      </c>
    </row>
    <row r="113" spans="1:19" ht="15" customHeight="1" x14ac:dyDescent="0.25">
      <c r="A113" t="s">
        <v>164</v>
      </c>
      <c r="B113" t="s">
        <v>202</v>
      </c>
      <c r="C113" t="s">
        <v>134</v>
      </c>
      <c r="D113" t="s">
        <v>41</v>
      </c>
      <c r="E113" t="s">
        <v>48</v>
      </c>
      <c r="F113" t="str">
        <f t="shared" si="25"/>
        <v>/code/TS3-S2/mlongt5</v>
      </c>
      <c r="G113" t="s">
        <v>172</v>
      </c>
      <c r="H113">
        <v>655.48127470799898</v>
      </c>
      <c r="I113" t="s">
        <v>303</v>
      </c>
      <c r="J113">
        <v>867.014790882998</v>
      </c>
      <c r="K113">
        <v>1.2623000000000001E-2</v>
      </c>
      <c r="L113">
        <v>7.8139999999999998E-3</v>
      </c>
      <c r="M113">
        <v>32.5</v>
      </c>
      <c r="N113" t="s">
        <v>25</v>
      </c>
      <c r="O113" t="s">
        <v>25</v>
      </c>
      <c r="P113">
        <v>4.8089999999999999E-3</v>
      </c>
      <c r="Q113">
        <v>20</v>
      </c>
      <c r="R113" s="4" t="s">
        <v>988</v>
      </c>
      <c r="S113" t="s">
        <v>854</v>
      </c>
    </row>
    <row r="114" spans="1:19" ht="15" customHeight="1" x14ac:dyDescent="0.25">
      <c r="A114" t="s">
        <v>164</v>
      </c>
      <c r="B114" t="s">
        <v>202</v>
      </c>
      <c r="C114" t="s">
        <v>134</v>
      </c>
      <c r="D114" t="s">
        <v>41</v>
      </c>
      <c r="E114" t="s">
        <v>48</v>
      </c>
      <c r="F114" t="str">
        <f t="shared" ref="F114" si="30">"/code/TS3-"&amp;D114&amp;"/mlongt5"</f>
        <v>/code/TS3-S2/mlongt5</v>
      </c>
      <c r="G114" t="s">
        <v>172</v>
      </c>
      <c r="H114">
        <v>655.48127470799898</v>
      </c>
      <c r="I114" t="s">
        <v>304</v>
      </c>
      <c r="J114">
        <v>868.79816399799802</v>
      </c>
      <c r="K114">
        <v>1.2649000000000001E-2</v>
      </c>
      <c r="L114">
        <v>7.8300000000000002E-3</v>
      </c>
      <c r="M114">
        <v>32.5</v>
      </c>
      <c r="N114" t="s">
        <v>25</v>
      </c>
      <c r="O114" t="s">
        <v>25</v>
      </c>
      <c r="P114">
        <v>4.8180000000000002E-3</v>
      </c>
      <c r="Q114">
        <v>20</v>
      </c>
      <c r="R114" s="4" t="s">
        <v>989</v>
      </c>
      <c r="S114" t="s">
        <v>855</v>
      </c>
    </row>
    <row r="115" spans="1:19" ht="15" customHeight="1" x14ac:dyDescent="0.25">
      <c r="A115" t="s">
        <v>164</v>
      </c>
      <c r="B115" t="s">
        <v>202</v>
      </c>
      <c r="C115" t="s">
        <v>134</v>
      </c>
      <c r="D115" t="s">
        <v>41</v>
      </c>
      <c r="E115" t="s">
        <v>48</v>
      </c>
      <c r="F115" t="str">
        <f t="shared" si="25"/>
        <v>/code/TS3-S2/mlongt5</v>
      </c>
      <c r="G115" t="s">
        <v>172</v>
      </c>
      <c r="H115">
        <v>655.48127470799898</v>
      </c>
      <c r="I115" t="s">
        <v>305</v>
      </c>
      <c r="J115">
        <v>842.85191189199895</v>
      </c>
      <c r="K115">
        <v>1.2269E-2</v>
      </c>
      <c r="L115">
        <v>7.5950000000000002E-3</v>
      </c>
      <c r="M115">
        <v>32.5</v>
      </c>
      <c r="N115" t="s">
        <v>25</v>
      </c>
      <c r="O115" t="s">
        <v>25</v>
      </c>
      <c r="P115">
        <v>4.6740000000000002E-3</v>
      </c>
      <c r="Q115">
        <v>20</v>
      </c>
      <c r="R115" s="4" t="s">
        <v>990</v>
      </c>
      <c r="S115" t="s">
        <v>856</v>
      </c>
    </row>
    <row r="116" spans="1:19" ht="15" customHeight="1" x14ac:dyDescent="0.25">
      <c r="A116" t="s">
        <v>164</v>
      </c>
      <c r="B116" t="s">
        <v>202</v>
      </c>
      <c r="C116" t="s">
        <v>134</v>
      </c>
      <c r="D116" t="s">
        <v>41</v>
      </c>
      <c r="E116" t="s">
        <v>23</v>
      </c>
      <c r="F116" t="str">
        <f t="shared" si="25"/>
        <v>/code/TS3-S2/mlongt5</v>
      </c>
      <c r="G116" t="s">
        <v>175</v>
      </c>
      <c r="H116">
        <v>498.38526338999498</v>
      </c>
      <c r="I116" t="s">
        <v>303</v>
      </c>
      <c r="J116">
        <v>498.63825326099999</v>
      </c>
      <c r="K116">
        <v>7.2519999999999998E-3</v>
      </c>
      <c r="L116">
        <v>4.4889999999999999E-3</v>
      </c>
      <c r="M116">
        <v>32.5</v>
      </c>
      <c r="N116" t="s">
        <v>25</v>
      </c>
      <c r="O116" t="s">
        <v>25</v>
      </c>
      <c r="P116">
        <v>2.7629999999999998E-3</v>
      </c>
      <c r="Q116">
        <v>20</v>
      </c>
      <c r="R116" s="4" t="s">
        <v>991</v>
      </c>
      <c r="S116" t="s">
        <v>857</v>
      </c>
    </row>
    <row r="117" spans="1:19" ht="15" customHeight="1" x14ac:dyDescent="0.25">
      <c r="A117" t="s">
        <v>164</v>
      </c>
      <c r="B117" t="s">
        <v>202</v>
      </c>
      <c r="C117" t="s">
        <v>134</v>
      </c>
      <c r="D117" t="s">
        <v>41</v>
      </c>
      <c r="E117" t="s">
        <v>23</v>
      </c>
      <c r="F117" t="str">
        <f t="shared" ref="F117" si="31">"/code/TS3-"&amp;D117&amp;"/mlongt5"</f>
        <v>/code/TS3-S2/mlongt5</v>
      </c>
      <c r="G117" t="s">
        <v>175</v>
      </c>
      <c r="H117">
        <v>498.38526338999498</v>
      </c>
      <c r="I117" t="s">
        <v>304</v>
      </c>
      <c r="J117">
        <v>493.01604528299799</v>
      </c>
      <c r="K117">
        <v>7.1659999999999996E-3</v>
      </c>
      <c r="L117">
        <v>4.4359999999999998E-3</v>
      </c>
      <c r="M117">
        <v>32.5</v>
      </c>
      <c r="N117" t="s">
        <v>25</v>
      </c>
      <c r="O117" t="s">
        <v>25</v>
      </c>
      <c r="P117">
        <v>2.7299999999999998E-3</v>
      </c>
      <c r="Q117">
        <v>20</v>
      </c>
      <c r="R117" s="4" t="s">
        <v>992</v>
      </c>
      <c r="S117" t="s">
        <v>858</v>
      </c>
    </row>
    <row r="118" spans="1:19" ht="15" customHeight="1" x14ac:dyDescent="0.25">
      <c r="A118" t="s">
        <v>164</v>
      </c>
      <c r="B118" t="s">
        <v>202</v>
      </c>
      <c r="C118" t="s">
        <v>134</v>
      </c>
      <c r="D118" t="s">
        <v>41</v>
      </c>
      <c r="E118" t="s">
        <v>23</v>
      </c>
      <c r="F118" t="str">
        <f t="shared" si="25"/>
        <v>/code/TS3-S2/mlongt5</v>
      </c>
      <c r="G118" t="s">
        <v>175</v>
      </c>
      <c r="H118">
        <v>498.38526338999498</v>
      </c>
      <c r="I118" t="s">
        <v>305</v>
      </c>
      <c r="J118">
        <v>496.26059831299699</v>
      </c>
      <c r="K118">
        <v>7.2139999999999999E-3</v>
      </c>
      <c r="L118">
        <v>4.4660000000000004E-3</v>
      </c>
      <c r="M118">
        <v>32.5</v>
      </c>
      <c r="N118" t="s">
        <v>25</v>
      </c>
      <c r="O118" t="s">
        <v>25</v>
      </c>
      <c r="P118">
        <v>2.748E-3</v>
      </c>
      <c r="Q118">
        <v>20</v>
      </c>
      <c r="R118" s="4" t="s">
        <v>993</v>
      </c>
      <c r="S118" t="s">
        <v>859</v>
      </c>
    </row>
    <row r="119" spans="1:19" ht="15" customHeight="1" x14ac:dyDescent="0.25">
      <c r="A119" t="s">
        <v>164</v>
      </c>
      <c r="B119" t="s">
        <v>202</v>
      </c>
      <c r="C119" t="s">
        <v>134</v>
      </c>
      <c r="D119" t="s">
        <v>41</v>
      </c>
      <c r="E119" t="s">
        <v>48</v>
      </c>
      <c r="F119" t="str">
        <f t="shared" si="25"/>
        <v>/code/TS3-S2/mlongt5</v>
      </c>
      <c r="G119" t="s">
        <v>175</v>
      </c>
      <c r="H119">
        <v>499.10167370099902</v>
      </c>
      <c r="I119" t="s">
        <v>303</v>
      </c>
      <c r="J119">
        <v>494.31073533299701</v>
      </c>
      <c r="K119">
        <v>7.1879999999999999E-3</v>
      </c>
      <c r="L119">
        <v>4.45E-3</v>
      </c>
      <c r="M119">
        <v>32.5</v>
      </c>
      <c r="N119" t="s">
        <v>25</v>
      </c>
      <c r="O119" t="s">
        <v>25</v>
      </c>
      <c r="P119">
        <v>2.738E-3</v>
      </c>
      <c r="Q119">
        <v>20</v>
      </c>
      <c r="R119" s="4" t="s">
        <v>994</v>
      </c>
      <c r="S119" t="s">
        <v>860</v>
      </c>
    </row>
    <row r="120" spans="1:19" ht="15" customHeight="1" x14ac:dyDescent="0.25">
      <c r="A120" t="s">
        <v>164</v>
      </c>
      <c r="B120" t="s">
        <v>202</v>
      </c>
      <c r="C120" t="s">
        <v>134</v>
      </c>
      <c r="D120" t="s">
        <v>41</v>
      </c>
      <c r="E120" t="s">
        <v>48</v>
      </c>
      <c r="F120" t="str">
        <f t="shared" ref="F120" si="32">"/code/TS3-"&amp;D120&amp;"/mlongt5"</f>
        <v>/code/TS3-S2/mlongt5</v>
      </c>
      <c r="G120" t="s">
        <v>175</v>
      </c>
      <c r="H120">
        <v>499.10167370099902</v>
      </c>
      <c r="I120" t="s">
        <v>304</v>
      </c>
      <c r="J120">
        <v>497.22040613799902</v>
      </c>
      <c r="K120">
        <v>7.2179999999999996E-3</v>
      </c>
      <c r="L120">
        <v>4.4679999999999997E-3</v>
      </c>
      <c r="M120">
        <v>32.5</v>
      </c>
      <c r="N120" t="s">
        <v>25</v>
      </c>
      <c r="O120" t="s">
        <v>25</v>
      </c>
      <c r="P120">
        <v>2.7499999999999998E-3</v>
      </c>
      <c r="Q120">
        <v>20</v>
      </c>
      <c r="R120" s="4" t="s">
        <v>995</v>
      </c>
      <c r="S120" t="s">
        <v>861</v>
      </c>
    </row>
    <row r="121" spans="1:19" ht="15" customHeight="1" x14ac:dyDescent="0.25">
      <c r="A121" t="s">
        <v>164</v>
      </c>
      <c r="B121" t="s">
        <v>202</v>
      </c>
      <c r="C121" t="s">
        <v>134</v>
      </c>
      <c r="D121" t="s">
        <v>41</v>
      </c>
      <c r="E121" t="s">
        <v>48</v>
      </c>
      <c r="F121" t="str">
        <f t="shared" si="25"/>
        <v>/code/TS3-S2/mlongt5</v>
      </c>
      <c r="G121" t="s">
        <v>175</v>
      </c>
      <c r="H121">
        <v>499.10167370099902</v>
      </c>
      <c r="I121" t="s">
        <v>305</v>
      </c>
      <c r="J121">
        <v>494.11299942199901</v>
      </c>
      <c r="K121">
        <v>7.182E-3</v>
      </c>
      <c r="L121">
        <v>4.4460000000000003E-3</v>
      </c>
      <c r="M121">
        <v>32.5</v>
      </c>
      <c r="N121" t="s">
        <v>25</v>
      </c>
      <c r="O121" t="s">
        <v>25</v>
      </c>
      <c r="P121">
        <v>2.7360000000000002E-3</v>
      </c>
      <c r="Q121">
        <v>20</v>
      </c>
      <c r="R121" s="4" t="s">
        <v>996</v>
      </c>
      <c r="S121" t="s">
        <v>862</v>
      </c>
    </row>
    <row r="122" spans="1:19" ht="15" customHeight="1" x14ac:dyDescent="0.25">
      <c r="A122" t="s">
        <v>164</v>
      </c>
      <c r="B122" t="s">
        <v>202</v>
      </c>
      <c r="C122" t="s">
        <v>134</v>
      </c>
      <c r="D122" t="s">
        <v>41</v>
      </c>
      <c r="E122" t="s">
        <v>23</v>
      </c>
      <c r="F122" t="str">
        <f t="shared" si="25"/>
        <v>/code/TS3-S2/mlongt5</v>
      </c>
      <c r="G122" t="s">
        <v>178</v>
      </c>
      <c r="H122">
        <v>189.40127383099701</v>
      </c>
      <c r="I122" t="s">
        <v>303</v>
      </c>
      <c r="J122">
        <v>187.78750080899701</v>
      </c>
      <c r="K122">
        <v>2.715E-3</v>
      </c>
      <c r="L122">
        <v>1.681E-3</v>
      </c>
      <c r="M122">
        <v>32.5</v>
      </c>
      <c r="N122" t="s">
        <v>25</v>
      </c>
      <c r="O122" t="s">
        <v>25</v>
      </c>
      <c r="P122">
        <v>1.034E-3</v>
      </c>
      <c r="Q122">
        <v>20</v>
      </c>
      <c r="R122" s="4" t="s">
        <v>997</v>
      </c>
      <c r="S122" t="s">
        <v>863</v>
      </c>
    </row>
    <row r="123" spans="1:19" ht="15" customHeight="1" x14ac:dyDescent="0.25">
      <c r="A123" t="s">
        <v>164</v>
      </c>
      <c r="B123" t="s">
        <v>202</v>
      </c>
      <c r="C123" t="s">
        <v>134</v>
      </c>
      <c r="D123" t="s">
        <v>41</v>
      </c>
      <c r="E123" t="s">
        <v>23</v>
      </c>
      <c r="F123" t="str">
        <f t="shared" ref="F123" si="33">"/code/TS3-"&amp;D123&amp;"/mlongt5"</f>
        <v>/code/TS3-S2/mlongt5</v>
      </c>
      <c r="G123" t="s">
        <v>178</v>
      </c>
      <c r="H123">
        <v>189.40127383099701</v>
      </c>
      <c r="I123" t="s">
        <v>304</v>
      </c>
      <c r="J123">
        <v>191.252494848005</v>
      </c>
      <c r="K123">
        <v>2.7659999999999998E-3</v>
      </c>
      <c r="L123">
        <v>1.712E-3</v>
      </c>
      <c r="M123">
        <v>32.5</v>
      </c>
      <c r="N123" t="s">
        <v>25</v>
      </c>
      <c r="O123" t="s">
        <v>25</v>
      </c>
      <c r="P123">
        <v>1.054E-3</v>
      </c>
      <c r="Q123">
        <v>20</v>
      </c>
      <c r="R123" s="4" t="s">
        <v>998</v>
      </c>
      <c r="S123" t="s">
        <v>864</v>
      </c>
    </row>
    <row r="124" spans="1:19" ht="15" customHeight="1" x14ac:dyDescent="0.25">
      <c r="A124" t="s">
        <v>164</v>
      </c>
      <c r="B124" t="s">
        <v>202</v>
      </c>
      <c r="C124" t="s">
        <v>134</v>
      </c>
      <c r="D124" t="s">
        <v>41</v>
      </c>
      <c r="E124" t="s">
        <v>23</v>
      </c>
      <c r="F124" t="str">
        <f t="shared" si="25"/>
        <v>/code/TS3-S2/mlongt5</v>
      </c>
      <c r="G124" t="s">
        <v>178</v>
      </c>
      <c r="H124">
        <v>189.40127383099701</v>
      </c>
      <c r="I124" t="s">
        <v>305</v>
      </c>
      <c r="J124">
        <v>189.36822183099801</v>
      </c>
      <c r="K124">
        <v>2.7420000000000001E-3</v>
      </c>
      <c r="L124">
        <v>1.6980000000000001E-3</v>
      </c>
      <c r="M124">
        <v>32.5</v>
      </c>
      <c r="N124" t="s">
        <v>25</v>
      </c>
      <c r="O124" t="s">
        <v>25</v>
      </c>
      <c r="P124">
        <v>1.0449999999999999E-3</v>
      </c>
      <c r="Q124">
        <v>20</v>
      </c>
      <c r="R124" s="4" t="s">
        <v>999</v>
      </c>
      <c r="S124" t="s">
        <v>865</v>
      </c>
    </row>
    <row r="125" spans="1:19" ht="15" customHeight="1" x14ac:dyDescent="0.25">
      <c r="A125" t="s">
        <v>164</v>
      </c>
      <c r="B125" t="s">
        <v>202</v>
      </c>
      <c r="C125" t="s">
        <v>134</v>
      </c>
      <c r="D125" t="s">
        <v>41</v>
      </c>
      <c r="E125" t="s">
        <v>48</v>
      </c>
      <c r="F125" t="str">
        <f t="shared" si="25"/>
        <v>/code/TS3-S2/mlongt5</v>
      </c>
      <c r="G125" t="s">
        <v>178</v>
      </c>
      <c r="H125">
        <v>193.52300111600101</v>
      </c>
      <c r="I125" t="s">
        <v>303</v>
      </c>
      <c r="J125">
        <v>189.42355612099999</v>
      </c>
      <c r="K125">
        <v>2.7390000000000001E-3</v>
      </c>
      <c r="L125">
        <v>1.6949999999999999E-3</v>
      </c>
      <c r="M125">
        <v>32.5</v>
      </c>
      <c r="N125" t="s">
        <v>25</v>
      </c>
      <c r="O125" t="s">
        <v>25</v>
      </c>
      <c r="P125">
        <v>1.0430000000000001E-3</v>
      </c>
      <c r="Q125">
        <v>20</v>
      </c>
      <c r="R125" s="4" t="s">
        <v>1000</v>
      </c>
      <c r="S125" t="s">
        <v>866</v>
      </c>
    </row>
    <row r="126" spans="1:19" ht="15" customHeight="1" x14ac:dyDescent="0.25">
      <c r="A126" t="s">
        <v>164</v>
      </c>
      <c r="B126" t="s">
        <v>202</v>
      </c>
      <c r="C126" t="s">
        <v>134</v>
      </c>
      <c r="D126" t="s">
        <v>41</v>
      </c>
      <c r="E126" t="s">
        <v>48</v>
      </c>
      <c r="F126" t="str">
        <f t="shared" ref="F126" si="34">"/code/TS3-"&amp;D126&amp;"/mlongt5"</f>
        <v>/code/TS3-S2/mlongt5</v>
      </c>
      <c r="G126" t="s">
        <v>178</v>
      </c>
      <c r="H126">
        <v>193.52300111600101</v>
      </c>
      <c r="I126" t="s">
        <v>304</v>
      </c>
      <c r="J126">
        <v>192.025686282999</v>
      </c>
      <c r="K126">
        <v>2.771E-3</v>
      </c>
      <c r="L126">
        <v>1.7149999999999999E-3</v>
      </c>
      <c r="M126">
        <v>32.5</v>
      </c>
      <c r="N126" t="s">
        <v>25</v>
      </c>
      <c r="O126" t="s">
        <v>25</v>
      </c>
      <c r="P126">
        <v>1.0549999999999999E-3</v>
      </c>
      <c r="Q126">
        <v>20</v>
      </c>
      <c r="R126" s="4" t="s">
        <v>1033</v>
      </c>
      <c r="S126" t="s">
        <v>867</v>
      </c>
    </row>
    <row r="127" spans="1:19" ht="15" customHeight="1" x14ac:dyDescent="0.25">
      <c r="A127" t="s">
        <v>164</v>
      </c>
      <c r="B127" t="s">
        <v>202</v>
      </c>
      <c r="C127" t="s">
        <v>134</v>
      </c>
      <c r="D127" t="s">
        <v>41</v>
      </c>
      <c r="E127" t="s">
        <v>48</v>
      </c>
      <c r="F127" t="str">
        <f t="shared" si="25"/>
        <v>/code/TS3-S2/mlongt5</v>
      </c>
      <c r="G127" t="s">
        <v>178</v>
      </c>
      <c r="H127">
        <v>193.52300111600101</v>
      </c>
      <c r="I127" t="s">
        <v>305</v>
      </c>
      <c r="J127">
        <v>190.31585241699901</v>
      </c>
      <c r="K127">
        <v>2.7520000000000001E-3</v>
      </c>
      <c r="L127">
        <v>1.704E-3</v>
      </c>
      <c r="M127">
        <v>32.5</v>
      </c>
      <c r="N127" t="s">
        <v>25</v>
      </c>
      <c r="O127" t="s">
        <v>25</v>
      </c>
      <c r="P127">
        <v>1.0480000000000001E-3</v>
      </c>
      <c r="Q127">
        <v>20</v>
      </c>
      <c r="R127" s="4" t="s">
        <v>1001</v>
      </c>
      <c r="S127" t="s">
        <v>868</v>
      </c>
    </row>
    <row r="128" spans="1:19" ht="15" customHeight="1" x14ac:dyDescent="0.25">
      <c r="A128" t="s">
        <v>164</v>
      </c>
      <c r="B128" t="s">
        <v>202</v>
      </c>
      <c r="C128" t="s">
        <v>191</v>
      </c>
      <c r="D128" t="s">
        <v>41</v>
      </c>
      <c r="E128" t="s">
        <v>23</v>
      </c>
      <c r="F128" t="str">
        <f t="shared" ref="F128" si="35">"/code/TS3-"&amp;D128&amp;"/mistralnemo"</f>
        <v>/code/TS3-S2/mistralnemo</v>
      </c>
      <c r="G128" t="s">
        <v>166</v>
      </c>
      <c r="H128">
        <v>704.83609260999901</v>
      </c>
      <c r="I128" t="s">
        <v>303</v>
      </c>
      <c r="J128">
        <v>722.05366780400004</v>
      </c>
      <c r="K128">
        <v>1.0506E-2</v>
      </c>
      <c r="L128">
        <v>6.5040000000000002E-3</v>
      </c>
      <c r="M128">
        <v>32.5</v>
      </c>
      <c r="N128" t="s">
        <v>25</v>
      </c>
      <c r="O128" t="s">
        <v>25</v>
      </c>
      <c r="P128">
        <v>4.0020000000000003E-3</v>
      </c>
      <c r="Q128">
        <v>20</v>
      </c>
      <c r="R128" s="4" t="s">
        <v>1003</v>
      </c>
      <c r="S128" t="s">
        <v>869</v>
      </c>
    </row>
    <row r="129" spans="1:19" ht="15" customHeight="1" x14ac:dyDescent="0.25">
      <c r="A129" t="s">
        <v>164</v>
      </c>
      <c r="B129" t="s">
        <v>202</v>
      </c>
      <c r="C129" t="s">
        <v>191</v>
      </c>
      <c r="D129" t="s">
        <v>41</v>
      </c>
      <c r="E129" t="s">
        <v>23</v>
      </c>
      <c r="F129" t="str">
        <f t="shared" ref="F129" si="36">"/code/TS3-"&amp;D129&amp;"/mistralnemo"</f>
        <v>/code/TS3-S2/mistralnemo</v>
      </c>
      <c r="G129" t="s">
        <v>166</v>
      </c>
      <c r="H129">
        <v>704.83609260999901</v>
      </c>
      <c r="I129" t="s">
        <v>304</v>
      </c>
      <c r="J129">
        <v>726.89101567999705</v>
      </c>
      <c r="K129">
        <v>1.0577E-2</v>
      </c>
      <c r="L129">
        <v>6.548E-3</v>
      </c>
      <c r="M129">
        <v>32.5</v>
      </c>
      <c r="N129" t="s">
        <v>25</v>
      </c>
      <c r="O129" t="s">
        <v>25</v>
      </c>
      <c r="P129">
        <v>4.0289999999999996E-3</v>
      </c>
      <c r="Q129">
        <v>20</v>
      </c>
      <c r="R129" s="4" t="s">
        <v>1004</v>
      </c>
      <c r="S129" t="s">
        <v>870</v>
      </c>
    </row>
    <row r="130" spans="1:19" ht="15" customHeight="1" x14ac:dyDescent="0.25">
      <c r="A130" t="s">
        <v>164</v>
      </c>
      <c r="B130" t="s">
        <v>202</v>
      </c>
      <c r="C130" t="s">
        <v>191</v>
      </c>
      <c r="D130" t="s">
        <v>41</v>
      </c>
      <c r="E130" t="s">
        <v>23</v>
      </c>
      <c r="F130" t="str">
        <f t="shared" ref="F130:F157" si="37">"/code/TS3-"&amp;D130&amp;"/mistralnemo"</f>
        <v>/code/TS3-S2/mistralnemo</v>
      </c>
      <c r="G130" t="s">
        <v>166</v>
      </c>
      <c r="H130">
        <v>704.83609260999901</v>
      </c>
      <c r="I130" t="s">
        <v>305</v>
      </c>
      <c r="J130">
        <v>729.93467033900004</v>
      </c>
      <c r="K130">
        <v>1.0624E-2</v>
      </c>
      <c r="L130">
        <v>6.5770000000000004E-3</v>
      </c>
      <c r="M130">
        <v>32.5</v>
      </c>
      <c r="N130" t="s">
        <v>25</v>
      </c>
      <c r="O130" t="s">
        <v>25</v>
      </c>
      <c r="P130">
        <v>4.0470000000000002E-3</v>
      </c>
      <c r="Q130">
        <v>20</v>
      </c>
      <c r="R130" s="4" t="s">
        <v>1005</v>
      </c>
      <c r="S130" t="s">
        <v>871</v>
      </c>
    </row>
    <row r="131" spans="1:19" ht="15" customHeight="1" x14ac:dyDescent="0.25">
      <c r="A131" t="s">
        <v>164</v>
      </c>
      <c r="B131" t="s">
        <v>202</v>
      </c>
      <c r="C131" t="s">
        <v>191</v>
      </c>
      <c r="D131" t="s">
        <v>41</v>
      </c>
      <c r="E131" t="s">
        <v>48</v>
      </c>
      <c r="F131" t="str">
        <f t="shared" si="37"/>
        <v>/code/TS3-S2/mistralnemo</v>
      </c>
      <c r="G131" t="s">
        <v>166</v>
      </c>
      <c r="H131">
        <v>179.95903498999999</v>
      </c>
      <c r="I131" t="s">
        <v>303</v>
      </c>
      <c r="J131">
        <v>206.075441627</v>
      </c>
      <c r="K131">
        <v>2.9840000000000001E-3</v>
      </c>
      <c r="L131">
        <v>1.8469999999999999E-3</v>
      </c>
      <c r="M131">
        <v>32.5</v>
      </c>
      <c r="N131" t="s">
        <v>25</v>
      </c>
      <c r="O131" t="s">
        <v>25</v>
      </c>
      <c r="P131">
        <v>1.137E-3</v>
      </c>
      <c r="Q131">
        <v>20</v>
      </c>
      <c r="R131" s="4" t="s">
        <v>1006</v>
      </c>
      <c r="S131" t="s">
        <v>872</v>
      </c>
    </row>
    <row r="132" spans="1:19" ht="15" customHeight="1" x14ac:dyDescent="0.25">
      <c r="A132" t="s">
        <v>164</v>
      </c>
      <c r="B132" t="s">
        <v>202</v>
      </c>
      <c r="C132" t="s">
        <v>191</v>
      </c>
      <c r="D132" t="s">
        <v>41</v>
      </c>
      <c r="E132" t="s">
        <v>48</v>
      </c>
      <c r="F132" t="str">
        <f t="shared" ref="F132" si="38">"/code/TS3-"&amp;D132&amp;"/mistralnemo"</f>
        <v>/code/TS3-S2/mistralnemo</v>
      </c>
      <c r="G132" t="s">
        <v>166</v>
      </c>
      <c r="H132">
        <v>179.95903498999999</v>
      </c>
      <c r="I132" t="s">
        <v>304</v>
      </c>
      <c r="J132">
        <v>201.777104345</v>
      </c>
      <c r="K132">
        <v>2.9220000000000001E-3</v>
      </c>
      <c r="L132">
        <v>1.8090000000000001E-3</v>
      </c>
      <c r="M132">
        <v>32.5</v>
      </c>
      <c r="N132" t="s">
        <v>25</v>
      </c>
      <c r="O132" t="s">
        <v>25</v>
      </c>
      <c r="P132">
        <v>1.1130000000000001E-3</v>
      </c>
      <c r="Q132">
        <v>20</v>
      </c>
      <c r="R132" s="4" t="s">
        <v>1007</v>
      </c>
      <c r="S132" t="s">
        <v>873</v>
      </c>
    </row>
    <row r="133" spans="1:19" ht="15" customHeight="1" x14ac:dyDescent="0.25">
      <c r="A133" t="s">
        <v>164</v>
      </c>
      <c r="B133" t="s">
        <v>202</v>
      </c>
      <c r="C133" t="s">
        <v>191</v>
      </c>
      <c r="D133" t="s">
        <v>41</v>
      </c>
      <c r="E133" t="s">
        <v>48</v>
      </c>
      <c r="F133" t="str">
        <f t="shared" si="37"/>
        <v>/code/TS3-S2/mistralnemo</v>
      </c>
      <c r="G133" t="s">
        <v>166</v>
      </c>
      <c r="H133">
        <v>179.95903498999999</v>
      </c>
      <c r="I133" t="s">
        <v>305</v>
      </c>
      <c r="J133">
        <v>168.30158234999999</v>
      </c>
      <c r="K133">
        <v>2.434E-3</v>
      </c>
      <c r="L133">
        <v>1.5070000000000001E-3</v>
      </c>
      <c r="M133">
        <v>32.5</v>
      </c>
      <c r="N133" t="s">
        <v>25</v>
      </c>
      <c r="O133" t="s">
        <v>25</v>
      </c>
      <c r="P133">
        <v>9.2699999999999998E-4</v>
      </c>
      <c r="Q133">
        <v>20</v>
      </c>
      <c r="R133" s="4" t="s">
        <v>1008</v>
      </c>
      <c r="S133" t="s">
        <v>874</v>
      </c>
    </row>
    <row r="134" spans="1:19" ht="15" customHeight="1" x14ac:dyDescent="0.25">
      <c r="A134" t="s">
        <v>164</v>
      </c>
      <c r="B134" t="s">
        <v>202</v>
      </c>
      <c r="C134" t="s">
        <v>191</v>
      </c>
      <c r="D134" t="s">
        <v>41</v>
      </c>
      <c r="E134" t="s">
        <v>23</v>
      </c>
      <c r="F134" t="str">
        <f t="shared" si="37"/>
        <v>/code/TS3-S2/mistralnemo</v>
      </c>
      <c r="G134" t="s">
        <v>169</v>
      </c>
      <c r="H134">
        <v>369.61693040999597</v>
      </c>
      <c r="I134" t="s">
        <v>303</v>
      </c>
      <c r="J134">
        <v>373.84918111099898</v>
      </c>
      <c r="K134">
        <v>5.4289999999999998E-3</v>
      </c>
      <c r="L134">
        <v>3.3609999999999998E-3</v>
      </c>
      <c r="M134">
        <v>32.5</v>
      </c>
      <c r="N134" t="s">
        <v>25</v>
      </c>
      <c r="O134" t="s">
        <v>25</v>
      </c>
      <c r="P134">
        <v>2.068E-3</v>
      </c>
      <c r="Q134">
        <v>20</v>
      </c>
      <c r="R134" s="4" t="s">
        <v>1009</v>
      </c>
      <c r="S134" t="s">
        <v>875</v>
      </c>
    </row>
    <row r="135" spans="1:19" ht="15" customHeight="1" x14ac:dyDescent="0.25">
      <c r="A135" t="s">
        <v>164</v>
      </c>
      <c r="B135" t="s">
        <v>202</v>
      </c>
      <c r="C135" t="s">
        <v>191</v>
      </c>
      <c r="D135" t="s">
        <v>41</v>
      </c>
      <c r="E135" t="s">
        <v>23</v>
      </c>
      <c r="F135" t="str">
        <f t="shared" ref="F135" si="39">"/code/TS3-"&amp;D135&amp;"/mistralnemo"</f>
        <v>/code/TS3-S2/mistralnemo</v>
      </c>
      <c r="G135" t="s">
        <v>169</v>
      </c>
      <c r="H135">
        <v>369.61693040999597</v>
      </c>
      <c r="I135" t="s">
        <v>304</v>
      </c>
      <c r="J135">
        <v>361.216596441001</v>
      </c>
      <c r="K135">
        <v>5.2440000000000004E-3</v>
      </c>
      <c r="L135">
        <v>3.2469999999999999E-3</v>
      </c>
      <c r="M135">
        <v>32.5</v>
      </c>
      <c r="N135" t="s">
        <v>25</v>
      </c>
      <c r="O135" t="s">
        <v>25</v>
      </c>
      <c r="P135">
        <v>1.9980000000000002E-3</v>
      </c>
      <c r="Q135">
        <v>20</v>
      </c>
      <c r="R135" s="4" t="s">
        <v>1010</v>
      </c>
      <c r="S135" t="s">
        <v>876</v>
      </c>
    </row>
    <row r="136" spans="1:19" ht="15" customHeight="1" x14ac:dyDescent="0.25">
      <c r="A136" t="s">
        <v>164</v>
      </c>
      <c r="B136" t="s">
        <v>202</v>
      </c>
      <c r="C136" t="s">
        <v>191</v>
      </c>
      <c r="D136" t="s">
        <v>41</v>
      </c>
      <c r="E136" t="s">
        <v>23</v>
      </c>
      <c r="F136" t="str">
        <f t="shared" si="37"/>
        <v>/code/TS3-S2/mistralnemo</v>
      </c>
      <c r="G136" t="s">
        <v>169</v>
      </c>
      <c r="H136">
        <v>369.61693040999597</v>
      </c>
      <c r="I136" t="s">
        <v>305</v>
      </c>
      <c r="J136">
        <v>376.68237481199998</v>
      </c>
      <c r="K136">
        <v>5.4710000000000002E-3</v>
      </c>
      <c r="L136">
        <v>3.3869999999999998E-3</v>
      </c>
      <c r="M136">
        <v>32.5</v>
      </c>
      <c r="N136" t="s">
        <v>25</v>
      </c>
      <c r="O136" t="s">
        <v>25</v>
      </c>
      <c r="P136">
        <v>2.0839999999999999E-3</v>
      </c>
      <c r="Q136">
        <v>20</v>
      </c>
      <c r="R136" s="4" t="s">
        <v>1011</v>
      </c>
      <c r="S136" t="s">
        <v>877</v>
      </c>
    </row>
    <row r="137" spans="1:19" ht="15" customHeight="1" x14ac:dyDescent="0.25">
      <c r="A137" t="s">
        <v>164</v>
      </c>
      <c r="B137" t="s">
        <v>202</v>
      </c>
      <c r="C137" t="s">
        <v>191</v>
      </c>
      <c r="D137" t="s">
        <v>41</v>
      </c>
      <c r="E137" t="s">
        <v>48</v>
      </c>
      <c r="F137" t="str">
        <f t="shared" si="37"/>
        <v>/code/TS3-S2/mistralnemo</v>
      </c>
      <c r="G137" t="s">
        <v>169</v>
      </c>
      <c r="H137">
        <v>152.03654016699801</v>
      </c>
      <c r="I137" t="s">
        <v>303</v>
      </c>
      <c r="J137">
        <v>120.641536931</v>
      </c>
      <c r="K137">
        <v>1.7359999999999999E-3</v>
      </c>
      <c r="L137">
        <v>1.0740000000000001E-3</v>
      </c>
      <c r="M137">
        <v>32.5</v>
      </c>
      <c r="N137" t="s">
        <v>25</v>
      </c>
      <c r="O137" t="s">
        <v>25</v>
      </c>
      <c r="P137">
        <v>6.6100000000000002E-4</v>
      </c>
      <c r="Q137">
        <v>20</v>
      </c>
      <c r="R137" s="4" t="s">
        <v>1012</v>
      </c>
      <c r="S137" t="s">
        <v>878</v>
      </c>
    </row>
    <row r="138" spans="1:19" ht="15" customHeight="1" x14ac:dyDescent="0.25">
      <c r="A138" t="s">
        <v>164</v>
      </c>
      <c r="B138" t="s">
        <v>202</v>
      </c>
      <c r="C138" t="s">
        <v>191</v>
      </c>
      <c r="D138" t="s">
        <v>41</v>
      </c>
      <c r="E138" t="s">
        <v>48</v>
      </c>
      <c r="F138" t="str">
        <f t="shared" ref="F138" si="40">"/code/TS3-"&amp;D138&amp;"/mistralnemo"</f>
        <v>/code/TS3-S2/mistralnemo</v>
      </c>
      <c r="G138" t="s">
        <v>169</v>
      </c>
      <c r="H138">
        <v>152.03654016699801</v>
      </c>
      <c r="I138" t="s">
        <v>304</v>
      </c>
      <c r="J138">
        <v>142.57390915299899</v>
      </c>
      <c r="K138">
        <v>2.055E-3</v>
      </c>
      <c r="L138">
        <v>1.2719999999999999E-3</v>
      </c>
      <c r="M138">
        <v>32.5</v>
      </c>
      <c r="N138" t="s">
        <v>25</v>
      </c>
      <c r="O138" t="s">
        <v>25</v>
      </c>
      <c r="P138">
        <v>7.8299999999999995E-4</v>
      </c>
      <c r="Q138">
        <v>20</v>
      </c>
      <c r="R138" s="4" t="s">
        <v>1013</v>
      </c>
      <c r="S138" t="s">
        <v>879</v>
      </c>
    </row>
    <row r="139" spans="1:19" ht="15" customHeight="1" x14ac:dyDescent="0.25">
      <c r="A139" t="s">
        <v>164</v>
      </c>
      <c r="B139" t="s">
        <v>202</v>
      </c>
      <c r="C139" t="s">
        <v>191</v>
      </c>
      <c r="D139" t="s">
        <v>41</v>
      </c>
      <c r="E139" t="s">
        <v>48</v>
      </c>
      <c r="F139" t="str">
        <f t="shared" si="37"/>
        <v>/code/TS3-S2/mistralnemo</v>
      </c>
      <c r="G139" t="s">
        <v>169</v>
      </c>
      <c r="H139">
        <v>152.03654016699801</v>
      </c>
      <c r="I139" t="s">
        <v>305</v>
      </c>
      <c r="J139">
        <v>130.911416632</v>
      </c>
      <c r="K139">
        <v>1.8860000000000001E-3</v>
      </c>
      <c r="L139">
        <v>1.1670000000000001E-3</v>
      </c>
      <c r="M139">
        <v>32.5</v>
      </c>
      <c r="N139" t="s">
        <v>25</v>
      </c>
      <c r="O139" t="s">
        <v>25</v>
      </c>
      <c r="P139">
        <v>7.18E-4</v>
      </c>
      <c r="Q139">
        <v>20</v>
      </c>
      <c r="R139" s="4" t="s">
        <v>1014</v>
      </c>
      <c r="S139" t="s">
        <v>880</v>
      </c>
    </row>
    <row r="140" spans="1:19" ht="15" customHeight="1" x14ac:dyDescent="0.25">
      <c r="A140" t="s">
        <v>164</v>
      </c>
      <c r="B140" t="s">
        <v>202</v>
      </c>
      <c r="C140" t="s">
        <v>191</v>
      </c>
      <c r="D140" t="s">
        <v>41</v>
      </c>
      <c r="E140" t="s">
        <v>23</v>
      </c>
      <c r="F140" t="str">
        <f t="shared" si="37"/>
        <v>/code/TS3-S2/mistralnemo</v>
      </c>
      <c r="G140" t="s">
        <v>172</v>
      </c>
      <c r="H140">
        <v>1538.756546247</v>
      </c>
      <c r="I140" t="s">
        <v>303</v>
      </c>
      <c r="J140">
        <v>1831.3592378339899</v>
      </c>
      <c r="K140">
        <v>2.6686000000000001E-2</v>
      </c>
      <c r="L140">
        <v>1.652E-2</v>
      </c>
      <c r="M140">
        <v>32.5</v>
      </c>
      <c r="N140" t="s">
        <v>25</v>
      </c>
      <c r="O140" t="s">
        <v>25</v>
      </c>
      <c r="P140">
        <v>1.0166E-2</v>
      </c>
      <c r="Q140">
        <v>20</v>
      </c>
      <c r="R140" s="4" t="s">
        <v>1015</v>
      </c>
      <c r="S140" t="s">
        <v>881</v>
      </c>
    </row>
    <row r="141" spans="1:19" ht="15" customHeight="1" x14ac:dyDescent="0.25">
      <c r="A141" t="s">
        <v>164</v>
      </c>
      <c r="B141" t="s">
        <v>202</v>
      </c>
      <c r="C141" t="s">
        <v>191</v>
      </c>
      <c r="D141" t="s">
        <v>41</v>
      </c>
      <c r="E141" t="s">
        <v>23</v>
      </c>
      <c r="F141" t="str">
        <f t="shared" ref="F141" si="41">"/code/TS3-"&amp;D141&amp;"/mistralnemo"</f>
        <v>/code/TS3-S2/mistralnemo</v>
      </c>
      <c r="G141" t="s">
        <v>172</v>
      </c>
      <c r="H141">
        <v>1538.756546247</v>
      </c>
      <c r="I141" t="s">
        <v>304</v>
      </c>
      <c r="J141">
        <v>1879.9435720929901</v>
      </c>
      <c r="K141">
        <v>2.7394999999999999E-2</v>
      </c>
      <c r="L141">
        <v>1.6958999999999998E-2</v>
      </c>
      <c r="M141">
        <v>32.5</v>
      </c>
      <c r="N141" t="s">
        <v>25</v>
      </c>
      <c r="O141" t="s">
        <v>25</v>
      </c>
      <c r="P141">
        <v>1.0436000000000001E-2</v>
      </c>
      <c r="Q141">
        <v>20</v>
      </c>
      <c r="R141" s="4" t="s">
        <v>1016</v>
      </c>
      <c r="S141" t="s">
        <v>882</v>
      </c>
    </row>
    <row r="142" spans="1:19" ht="15" customHeight="1" x14ac:dyDescent="0.25">
      <c r="A142" t="s">
        <v>164</v>
      </c>
      <c r="B142" t="s">
        <v>202</v>
      </c>
      <c r="C142" t="s">
        <v>191</v>
      </c>
      <c r="D142" t="s">
        <v>41</v>
      </c>
      <c r="E142" t="s">
        <v>23</v>
      </c>
      <c r="F142" t="str">
        <f t="shared" si="37"/>
        <v>/code/TS3-S2/mistralnemo</v>
      </c>
      <c r="G142" t="s">
        <v>172</v>
      </c>
      <c r="H142">
        <v>1538.756546247</v>
      </c>
      <c r="I142" t="s">
        <v>305</v>
      </c>
      <c r="J142">
        <v>1910.178360009</v>
      </c>
      <c r="K142">
        <v>2.7836E-2</v>
      </c>
      <c r="L142">
        <v>1.7232000000000001E-2</v>
      </c>
      <c r="M142">
        <v>32.5</v>
      </c>
      <c r="N142" t="s">
        <v>25</v>
      </c>
      <c r="O142" t="s">
        <v>25</v>
      </c>
      <c r="P142">
        <v>1.0604000000000001E-2</v>
      </c>
      <c r="Q142">
        <v>20</v>
      </c>
      <c r="R142" s="4" t="s">
        <v>1017</v>
      </c>
      <c r="S142" t="s">
        <v>883</v>
      </c>
    </row>
    <row r="143" spans="1:19" ht="15" customHeight="1" x14ac:dyDescent="0.25">
      <c r="A143" t="s">
        <v>164</v>
      </c>
      <c r="B143" t="s">
        <v>202</v>
      </c>
      <c r="C143" t="s">
        <v>191</v>
      </c>
      <c r="D143" t="s">
        <v>41</v>
      </c>
      <c r="E143" t="s">
        <v>48</v>
      </c>
      <c r="F143" t="str">
        <f t="shared" si="37"/>
        <v>/code/TS3-S2/mistralnemo</v>
      </c>
      <c r="G143" t="s">
        <v>172</v>
      </c>
      <c r="H143">
        <v>961.20019619099901</v>
      </c>
      <c r="I143" t="s">
        <v>303</v>
      </c>
      <c r="J143">
        <v>354.07133291399902</v>
      </c>
      <c r="K143">
        <v>5.1399999999999996E-3</v>
      </c>
      <c r="L143">
        <v>3.1819999999999999E-3</v>
      </c>
      <c r="M143">
        <v>32.5</v>
      </c>
      <c r="N143" t="s">
        <v>25</v>
      </c>
      <c r="O143" t="s">
        <v>25</v>
      </c>
      <c r="P143">
        <v>1.9580000000000001E-3</v>
      </c>
      <c r="Q143">
        <v>20</v>
      </c>
      <c r="R143" s="4" t="s">
        <v>1018</v>
      </c>
      <c r="S143" t="s">
        <v>884</v>
      </c>
    </row>
    <row r="144" spans="1:19" ht="15" customHeight="1" x14ac:dyDescent="0.25">
      <c r="A144" t="s">
        <v>164</v>
      </c>
      <c r="B144" t="s">
        <v>202</v>
      </c>
      <c r="C144" t="s">
        <v>191</v>
      </c>
      <c r="D144" t="s">
        <v>41</v>
      </c>
      <c r="E144" t="s">
        <v>48</v>
      </c>
      <c r="F144" t="str">
        <f t="shared" ref="F144" si="42">"/code/TS3-"&amp;D144&amp;"/mistralnemo"</f>
        <v>/code/TS3-S2/mistralnemo</v>
      </c>
      <c r="G144" t="s">
        <v>172</v>
      </c>
      <c r="H144">
        <v>961.20019619099901</v>
      </c>
      <c r="I144" t="s">
        <v>304</v>
      </c>
      <c r="J144">
        <v>421.570981319</v>
      </c>
      <c r="K144">
        <v>6.1199999999999996E-3</v>
      </c>
      <c r="L144">
        <v>3.7889999999999998E-3</v>
      </c>
      <c r="M144">
        <v>32.5</v>
      </c>
      <c r="N144" t="s">
        <v>25</v>
      </c>
      <c r="O144" t="s">
        <v>25</v>
      </c>
      <c r="P144">
        <v>2.3319999999999999E-3</v>
      </c>
      <c r="Q144">
        <v>20</v>
      </c>
      <c r="R144" s="4" t="s">
        <v>1019</v>
      </c>
      <c r="S144" t="s">
        <v>885</v>
      </c>
    </row>
    <row r="145" spans="1:19" ht="15" customHeight="1" x14ac:dyDescent="0.25">
      <c r="A145" t="s">
        <v>164</v>
      </c>
      <c r="B145" t="s">
        <v>202</v>
      </c>
      <c r="C145" t="s">
        <v>191</v>
      </c>
      <c r="D145" t="s">
        <v>41</v>
      </c>
      <c r="E145" t="s">
        <v>48</v>
      </c>
      <c r="F145" t="str">
        <f t="shared" si="37"/>
        <v>/code/TS3-S2/mistralnemo</v>
      </c>
      <c r="G145" t="s">
        <v>172</v>
      </c>
      <c r="H145">
        <v>961.20019619099901</v>
      </c>
      <c r="I145" t="s">
        <v>305</v>
      </c>
      <c r="J145">
        <v>373.97011548599897</v>
      </c>
      <c r="K145">
        <v>5.4299999999999999E-3</v>
      </c>
      <c r="L145">
        <v>3.3609999999999998E-3</v>
      </c>
      <c r="M145">
        <v>32.5</v>
      </c>
      <c r="N145" t="s">
        <v>25</v>
      </c>
      <c r="O145" t="s">
        <v>25</v>
      </c>
      <c r="P145">
        <v>2.068E-3</v>
      </c>
      <c r="Q145">
        <v>20</v>
      </c>
      <c r="R145" s="4" t="s">
        <v>1020</v>
      </c>
      <c r="S145" t="s">
        <v>886</v>
      </c>
    </row>
    <row r="146" spans="1:19" ht="15" customHeight="1" x14ac:dyDescent="0.25">
      <c r="A146" t="s">
        <v>164</v>
      </c>
      <c r="B146" t="s">
        <v>202</v>
      </c>
      <c r="C146" t="s">
        <v>191</v>
      </c>
      <c r="D146" t="s">
        <v>41</v>
      </c>
      <c r="E146" t="s">
        <v>23</v>
      </c>
      <c r="F146" t="str">
        <f t="shared" si="37"/>
        <v>/code/TS3-S2/mistralnemo</v>
      </c>
      <c r="G146" t="s">
        <v>175</v>
      </c>
      <c r="H146">
        <v>1708.5040304449899</v>
      </c>
      <c r="I146" t="s">
        <v>303</v>
      </c>
      <c r="J146">
        <v>1914.0438064109901</v>
      </c>
      <c r="K146">
        <v>2.7893000000000001E-2</v>
      </c>
      <c r="L146">
        <v>1.7267000000000001E-2</v>
      </c>
      <c r="M146">
        <v>32.5</v>
      </c>
      <c r="N146" t="s">
        <v>25</v>
      </c>
      <c r="O146" t="s">
        <v>25</v>
      </c>
      <c r="P146">
        <v>1.0626E-2</v>
      </c>
      <c r="Q146">
        <v>20</v>
      </c>
      <c r="R146" s="4" t="s">
        <v>1021</v>
      </c>
      <c r="S146" t="s">
        <v>887</v>
      </c>
    </row>
    <row r="147" spans="1:19" ht="15" customHeight="1" x14ac:dyDescent="0.25">
      <c r="A147" t="s">
        <v>164</v>
      </c>
      <c r="B147" t="s">
        <v>202</v>
      </c>
      <c r="C147" t="s">
        <v>191</v>
      </c>
      <c r="D147" t="s">
        <v>41</v>
      </c>
      <c r="E147" t="s">
        <v>23</v>
      </c>
      <c r="F147" t="str">
        <f t="shared" ref="F147" si="43">"/code/TS3-"&amp;D147&amp;"/mistralnemo"</f>
        <v>/code/TS3-S2/mistralnemo</v>
      </c>
      <c r="G147" t="s">
        <v>175</v>
      </c>
      <c r="H147">
        <v>1708.5040304449899</v>
      </c>
      <c r="I147" t="s">
        <v>304</v>
      </c>
      <c r="J147">
        <v>1788.55268023699</v>
      </c>
      <c r="K147">
        <v>2.6062999999999999E-2</v>
      </c>
      <c r="L147">
        <v>1.6133999999999999E-2</v>
      </c>
      <c r="M147">
        <v>32.5</v>
      </c>
      <c r="N147" t="s">
        <v>25</v>
      </c>
      <c r="O147" t="s">
        <v>25</v>
      </c>
      <c r="P147">
        <v>9.9290000000000003E-3</v>
      </c>
      <c r="Q147">
        <v>20</v>
      </c>
      <c r="R147" s="4" t="s">
        <v>1022</v>
      </c>
      <c r="S147" t="s">
        <v>888</v>
      </c>
    </row>
    <row r="148" spans="1:19" ht="15" customHeight="1" x14ac:dyDescent="0.25">
      <c r="A148" t="s">
        <v>164</v>
      </c>
      <c r="B148" t="s">
        <v>202</v>
      </c>
      <c r="C148" t="s">
        <v>191</v>
      </c>
      <c r="D148" t="s">
        <v>41</v>
      </c>
      <c r="E148" t="s">
        <v>23</v>
      </c>
      <c r="F148" t="str">
        <f t="shared" si="37"/>
        <v>/code/TS3-S2/mistralnemo</v>
      </c>
      <c r="G148" t="s">
        <v>175</v>
      </c>
      <c r="H148">
        <v>1708.5040304449899</v>
      </c>
      <c r="I148" t="s">
        <v>305</v>
      </c>
      <c r="J148">
        <v>1829.4759115669999</v>
      </c>
      <c r="K148">
        <v>2.666E-2</v>
      </c>
      <c r="L148">
        <v>1.6504000000000001E-2</v>
      </c>
      <c r="M148">
        <v>32.5</v>
      </c>
      <c r="N148" t="s">
        <v>25</v>
      </c>
      <c r="O148" t="s">
        <v>25</v>
      </c>
      <c r="P148">
        <v>1.0156E-2</v>
      </c>
      <c r="Q148">
        <v>20</v>
      </c>
      <c r="R148" s="4" t="s">
        <v>1023</v>
      </c>
      <c r="S148" t="s">
        <v>889</v>
      </c>
    </row>
    <row r="149" spans="1:19" ht="15" customHeight="1" x14ac:dyDescent="0.25">
      <c r="A149" t="s">
        <v>164</v>
      </c>
      <c r="B149" t="s">
        <v>202</v>
      </c>
      <c r="C149" t="s">
        <v>191</v>
      </c>
      <c r="D149" t="s">
        <v>41</v>
      </c>
      <c r="E149" t="s">
        <v>48</v>
      </c>
      <c r="F149" t="str">
        <f t="shared" si="37"/>
        <v>/code/TS3-S2/mistralnemo</v>
      </c>
      <c r="G149" t="s">
        <v>175</v>
      </c>
      <c r="H149">
        <v>339.324384415</v>
      </c>
      <c r="I149" t="s">
        <v>303</v>
      </c>
      <c r="J149">
        <v>907.31263922699998</v>
      </c>
      <c r="K149">
        <v>1.3211000000000001E-2</v>
      </c>
      <c r="L149">
        <v>8.1779999999999995E-3</v>
      </c>
      <c r="M149">
        <v>32.5</v>
      </c>
      <c r="N149" t="s">
        <v>25</v>
      </c>
      <c r="O149" t="s">
        <v>25</v>
      </c>
      <c r="P149">
        <v>5.0330000000000001E-3</v>
      </c>
      <c r="Q149">
        <v>20</v>
      </c>
      <c r="R149" s="4" t="s">
        <v>1024</v>
      </c>
      <c r="S149" t="s">
        <v>890</v>
      </c>
    </row>
    <row r="150" spans="1:19" ht="15" customHeight="1" x14ac:dyDescent="0.25">
      <c r="A150" t="s">
        <v>164</v>
      </c>
      <c r="B150" t="s">
        <v>202</v>
      </c>
      <c r="C150" t="s">
        <v>191</v>
      </c>
      <c r="D150" t="s">
        <v>41</v>
      </c>
      <c r="E150" t="s">
        <v>48</v>
      </c>
      <c r="F150" t="str">
        <f t="shared" ref="F150" si="44">"/code/TS3-"&amp;D150&amp;"/mistralnemo"</f>
        <v>/code/TS3-S2/mistralnemo</v>
      </c>
      <c r="G150" t="s">
        <v>175</v>
      </c>
      <c r="H150">
        <v>339.324384415</v>
      </c>
      <c r="I150" t="s">
        <v>304</v>
      </c>
      <c r="J150">
        <v>882.66559869499997</v>
      </c>
      <c r="K150">
        <v>1.2851E-2</v>
      </c>
      <c r="L150">
        <v>7.9559999999999995E-3</v>
      </c>
      <c r="M150">
        <v>32.5</v>
      </c>
      <c r="N150" t="s">
        <v>25</v>
      </c>
      <c r="O150" t="s">
        <v>25</v>
      </c>
      <c r="P150">
        <v>4.8960000000000002E-3</v>
      </c>
      <c r="Q150">
        <v>20</v>
      </c>
      <c r="R150" s="4" t="s">
        <v>1025</v>
      </c>
      <c r="S150" t="s">
        <v>891</v>
      </c>
    </row>
    <row r="151" spans="1:19" ht="15" customHeight="1" x14ac:dyDescent="0.25">
      <c r="A151" t="s">
        <v>164</v>
      </c>
      <c r="B151" t="s">
        <v>202</v>
      </c>
      <c r="C151" t="s">
        <v>191</v>
      </c>
      <c r="D151" t="s">
        <v>41</v>
      </c>
      <c r="E151" t="s">
        <v>48</v>
      </c>
      <c r="F151" t="str">
        <f t="shared" si="37"/>
        <v>/code/TS3-S2/mistralnemo</v>
      </c>
      <c r="G151" t="s">
        <v>175</v>
      </c>
      <c r="H151">
        <v>339.324384415</v>
      </c>
      <c r="I151" t="s">
        <v>305</v>
      </c>
      <c r="J151">
        <v>938.597083545999</v>
      </c>
      <c r="K151">
        <v>1.3667E-2</v>
      </c>
      <c r="L151">
        <v>8.4600000000000005E-3</v>
      </c>
      <c r="M151">
        <v>32.5</v>
      </c>
      <c r="N151" t="s">
        <v>25</v>
      </c>
      <c r="O151" t="s">
        <v>25</v>
      </c>
      <c r="P151">
        <v>5.2059999999999997E-3</v>
      </c>
      <c r="Q151">
        <v>20</v>
      </c>
      <c r="R151" s="4" t="s">
        <v>1026</v>
      </c>
      <c r="S151" t="s">
        <v>892</v>
      </c>
    </row>
    <row r="152" spans="1:19" ht="15" customHeight="1" x14ac:dyDescent="0.25">
      <c r="A152" t="s">
        <v>164</v>
      </c>
      <c r="B152" t="s">
        <v>202</v>
      </c>
      <c r="C152" t="s">
        <v>191</v>
      </c>
      <c r="D152" t="s">
        <v>41</v>
      </c>
      <c r="E152" t="s">
        <v>23</v>
      </c>
      <c r="F152" t="str">
        <f t="shared" si="37"/>
        <v>/code/TS3-S2/mistralnemo</v>
      </c>
      <c r="G152" t="s">
        <v>178</v>
      </c>
      <c r="H152">
        <v>1297.3709538359899</v>
      </c>
      <c r="I152" t="s">
        <v>303</v>
      </c>
      <c r="J152">
        <v>1189.450558082</v>
      </c>
      <c r="K152">
        <v>1.7326000000000001E-2</v>
      </c>
      <c r="L152">
        <v>1.0725999999999999E-2</v>
      </c>
      <c r="M152">
        <v>32.5</v>
      </c>
      <c r="N152" t="s">
        <v>25</v>
      </c>
      <c r="O152" t="s">
        <v>25</v>
      </c>
      <c r="P152">
        <v>6.6E-3</v>
      </c>
      <c r="Q152">
        <v>20</v>
      </c>
      <c r="R152" s="4" t="s">
        <v>1027</v>
      </c>
      <c r="S152" t="s">
        <v>893</v>
      </c>
    </row>
    <row r="153" spans="1:19" ht="15" customHeight="1" x14ac:dyDescent="0.25">
      <c r="A153" t="s">
        <v>164</v>
      </c>
      <c r="B153" t="s">
        <v>202</v>
      </c>
      <c r="C153" t="s">
        <v>191</v>
      </c>
      <c r="D153" t="s">
        <v>41</v>
      </c>
      <c r="E153" t="s">
        <v>23</v>
      </c>
      <c r="F153" t="str">
        <f t="shared" ref="F153" si="45">"/code/TS3-"&amp;D153&amp;"/mistralnemo"</f>
        <v>/code/TS3-S2/mistralnemo</v>
      </c>
      <c r="G153" t="s">
        <v>178</v>
      </c>
      <c r="H153">
        <v>1297.3709538359899</v>
      </c>
      <c r="I153" t="s">
        <v>304</v>
      </c>
      <c r="J153">
        <v>1238.8385734339899</v>
      </c>
      <c r="K153">
        <v>1.8046E-2</v>
      </c>
      <c r="L153">
        <v>1.1172E-2</v>
      </c>
      <c r="M153">
        <v>32.5</v>
      </c>
      <c r="N153" t="s">
        <v>25</v>
      </c>
      <c r="O153" t="s">
        <v>25</v>
      </c>
      <c r="P153">
        <v>6.875E-3</v>
      </c>
      <c r="Q153">
        <v>20</v>
      </c>
      <c r="R153" s="4" t="s">
        <v>1028</v>
      </c>
      <c r="S153" t="s">
        <v>894</v>
      </c>
    </row>
    <row r="154" spans="1:19" ht="15" customHeight="1" x14ac:dyDescent="0.25">
      <c r="A154" t="s">
        <v>164</v>
      </c>
      <c r="B154" t="s">
        <v>202</v>
      </c>
      <c r="C154" t="s">
        <v>191</v>
      </c>
      <c r="D154" t="s">
        <v>41</v>
      </c>
      <c r="E154" t="s">
        <v>23</v>
      </c>
      <c r="F154" t="str">
        <f t="shared" si="37"/>
        <v>/code/TS3-S2/mistralnemo</v>
      </c>
      <c r="G154" t="s">
        <v>178</v>
      </c>
      <c r="H154">
        <v>1297.3709538359899</v>
      </c>
      <c r="I154" t="s">
        <v>305</v>
      </c>
      <c r="J154">
        <v>1223.25180868299</v>
      </c>
      <c r="K154">
        <v>1.7815999999999999E-2</v>
      </c>
      <c r="L154">
        <v>1.1029000000000001E-2</v>
      </c>
      <c r="M154">
        <v>32.5</v>
      </c>
      <c r="N154" t="s">
        <v>25</v>
      </c>
      <c r="O154" t="s">
        <v>25</v>
      </c>
      <c r="P154">
        <v>6.7869999999999996E-3</v>
      </c>
      <c r="Q154">
        <v>20</v>
      </c>
      <c r="R154" s="4" t="s">
        <v>1029</v>
      </c>
      <c r="S154" t="s">
        <v>895</v>
      </c>
    </row>
    <row r="155" spans="1:19" ht="15" customHeight="1" x14ac:dyDescent="0.25">
      <c r="A155" t="s">
        <v>164</v>
      </c>
      <c r="B155" t="s">
        <v>202</v>
      </c>
      <c r="C155" t="s">
        <v>191</v>
      </c>
      <c r="D155" t="s">
        <v>41</v>
      </c>
      <c r="E155" t="s">
        <v>48</v>
      </c>
      <c r="F155" t="str">
        <f t="shared" si="37"/>
        <v>/code/TS3-S2/mistralnemo</v>
      </c>
      <c r="G155" t="s">
        <v>178</v>
      </c>
      <c r="H155">
        <v>423.51624239899797</v>
      </c>
      <c r="I155" t="s">
        <v>303</v>
      </c>
      <c r="J155">
        <v>435.37313810699902</v>
      </c>
      <c r="K155">
        <v>6.326E-3</v>
      </c>
      <c r="L155">
        <v>3.9160000000000002E-3</v>
      </c>
      <c r="M155">
        <v>32.5</v>
      </c>
      <c r="N155" t="s">
        <v>25</v>
      </c>
      <c r="O155" t="s">
        <v>25</v>
      </c>
      <c r="P155">
        <v>2.4099999999999998E-3</v>
      </c>
      <c r="Q155">
        <v>20</v>
      </c>
      <c r="R155" s="4" t="s">
        <v>1030</v>
      </c>
      <c r="S155" t="s">
        <v>896</v>
      </c>
    </row>
    <row r="156" spans="1:19" ht="15" customHeight="1" x14ac:dyDescent="0.25">
      <c r="A156" t="s">
        <v>164</v>
      </c>
      <c r="B156" t="s">
        <v>202</v>
      </c>
      <c r="C156" t="s">
        <v>191</v>
      </c>
      <c r="D156" t="s">
        <v>41</v>
      </c>
      <c r="E156" t="s">
        <v>48</v>
      </c>
      <c r="F156" t="str">
        <f t="shared" ref="F156" si="46">"/code/TS3-"&amp;D156&amp;"/mistralnemo"</f>
        <v>/code/TS3-S2/mistralnemo</v>
      </c>
      <c r="G156" t="s">
        <v>178</v>
      </c>
      <c r="H156">
        <v>423.51624239899797</v>
      </c>
      <c r="I156" t="s">
        <v>304</v>
      </c>
      <c r="J156">
        <v>535.02947110499997</v>
      </c>
      <c r="K156">
        <v>7.7780000000000002E-3</v>
      </c>
      <c r="L156">
        <v>4.8149999999999998E-3</v>
      </c>
      <c r="M156">
        <v>32.5</v>
      </c>
      <c r="N156" t="s">
        <v>25</v>
      </c>
      <c r="O156" t="s">
        <v>25</v>
      </c>
      <c r="P156">
        <v>2.9629999999999999E-3</v>
      </c>
      <c r="Q156">
        <v>20</v>
      </c>
      <c r="R156" s="4" t="s">
        <v>1031</v>
      </c>
      <c r="S156" t="s">
        <v>897</v>
      </c>
    </row>
    <row r="157" spans="1:19" ht="15" customHeight="1" x14ac:dyDescent="0.25">
      <c r="A157" t="s">
        <v>164</v>
      </c>
      <c r="B157" t="s">
        <v>202</v>
      </c>
      <c r="C157" t="s">
        <v>191</v>
      </c>
      <c r="D157" t="s">
        <v>41</v>
      </c>
      <c r="E157" t="s">
        <v>48</v>
      </c>
      <c r="F157" t="str">
        <f t="shared" si="37"/>
        <v>/code/TS3-S2/mistralnemo</v>
      </c>
      <c r="G157" t="s">
        <v>178</v>
      </c>
      <c r="H157">
        <v>423.51624239899797</v>
      </c>
      <c r="I157" t="s">
        <v>305</v>
      </c>
      <c r="J157">
        <v>474.800403136</v>
      </c>
      <c r="K157">
        <v>6.8999999999999999E-3</v>
      </c>
      <c r="L157">
        <v>4.2719999999999998E-3</v>
      </c>
      <c r="M157">
        <v>32.5</v>
      </c>
      <c r="N157" t="s">
        <v>25</v>
      </c>
      <c r="O157" t="s">
        <v>25</v>
      </c>
      <c r="P157">
        <v>2.6289999999999998E-3</v>
      </c>
      <c r="Q157">
        <v>20</v>
      </c>
      <c r="R157" s="4" t="s">
        <v>1032</v>
      </c>
      <c r="S157" t="s">
        <v>898</v>
      </c>
    </row>
    <row r="158" spans="1:19" ht="15" customHeight="1" x14ac:dyDescent="0.25"/>
    <row r="159" spans="1:19" ht="15" customHeight="1" x14ac:dyDescent="0.25"/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3392-F834-449A-93B9-ED550D33C170}">
  <dimension ref="A1:S157"/>
  <sheetViews>
    <sheetView tabSelected="1" workbookViewId="0"/>
  </sheetViews>
  <sheetFormatPr baseColWidth="10" defaultColWidth="9.140625" defaultRowHeight="15" x14ac:dyDescent="0.25"/>
  <cols>
    <col min="1" max="1" width="38.140625" bestFit="1" customWidth="1"/>
    <col min="2" max="2" width="8.140625" bestFit="1" customWidth="1"/>
    <col min="3" max="3" width="15.140625" bestFit="1" customWidth="1"/>
    <col min="4" max="4" width="7.28515625" bestFit="1" customWidth="1"/>
    <col min="5" max="5" width="15.7109375" customWidth="1"/>
    <col min="6" max="6" width="22.85546875" bestFit="1" customWidth="1"/>
    <col min="7" max="7" width="22.28515625" bestFit="1" customWidth="1"/>
    <col min="8" max="8" width="18.28515625" bestFit="1" customWidth="1"/>
    <col min="9" max="9" width="4.5703125" bestFit="1" customWidth="1"/>
    <col min="10" max="10" width="18.28515625" customWidth="1"/>
    <col min="11" max="11" width="16.85546875" bestFit="1" customWidth="1"/>
    <col min="12" max="12" width="16.28515625" bestFit="1" customWidth="1"/>
    <col min="13" max="13" width="13.85546875" bestFit="1" customWidth="1"/>
    <col min="14" max="14" width="16.42578125" bestFit="1" customWidth="1"/>
    <col min="15" max="15" width="14" bestFit="1" customWidth="1"/>
    <col min="16" max="16" width="16.42578125" bestFit="1" customWidth="1"/>
    <col min="17" max="17" width="14" bestFit="1" customWidth="1"/>
    <col min="18" max="18" width="38.28515625" customWidth="1"/>
    <col min="19" max="19" width="255.7109375" bestFit="1" customWidth="1"/>
  </cols>
  <sheetData>
    <row r="1" spans="1:19" s="1" customFormat="1" ht="15" customHeight="1" thickBot="1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1034</v>
      </c>
      <c r="I1" s="1" t="s">
        <v>302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 customHeight="1" thickTop="1" x14ac:dyDescent="0.25">
      <c r="A2" t="s">
        <v>19</v>
      </c>
      <c r="B2" t="s">
        <v>53</v>
      </c>
      <c r="C2" t="s">
        <v>21</v>
      </c>
      <c r="D2" t="s">
        <v>54</v>
      </c>
      <c r="E2" t="s">
        <v>23</v>
      </c>
      <c r="F2" t="str">
        <f t="shared" ref="F2:F7" si="0">"/code/"&amp;"NLG-"&amp;D2&amp;"/markov"</f>
        <v>/code/NLG-S3/markov</v>
      </c>
      <c r="G2" t="s">
        <v>1035</v>
      </c>
      <c r="H2">
        <v>3355.0496870289899</v>
      </c>
      <c r="I2" t="s">
        <v>303</v>
      </c>
      <c r="J2">
        <v>249.67241485</v>
      </c>
      <c r="K2">
        <v>3.637E-3</v>
      </c>
      <c r="L2">
        <v>2.2520000000000001E-3</v>
      </c>
      <c r="M2">
        <v>32.5</v>
      </c>
      <c r="N2" t="s">
        <v>25</v>
      </c>
      <c r="O2" t="s">
        <v>25</v>
      </c>
      <c r="P2">
        <v>1.3849999999999999E-3</v>
      </c>
      <c r="Q2">
        <v>20</v>
      </c>
      <c r="R2" s="4" t="s">
        <v>636</v>
      </c>
      <c r="S2" t="s">
        <v>486</v>
      </c>
    </row>
    <row r="3" spans="1:19" ht="15" customHeight="1" x14ac:dyDescent="0.25">
      <c r="A3" t="s">
        <v>19</v>
      </c>
      <c r="B3" t="s">
        <v>53</v>
      </c>
      <c r="C3" t="s">
        <v>21</v>
      </c>
      <c r="D3" t="s">
        <v>54</v>
      </c>
      <c r="E3" t="s">
        <v>23</v>
      </c>
      <c r="F3" t="str">
        <f t="shared" si="0"/>
        <v>/code/NLG-S3/markov</v>
      </c>
      <c r="G3" t="s">
        <v>1035</v>
      </c>
      <c r="H3">
        <v>3355.0496870289899</v>
      </c>
      <c r="I3" t="s">
        <v>304</v>
      </c>
      <c r="J3">
        <v>245.81752827899999</v>
      </c>
      <c r="K3">
        <v>3.581E-3</v>
      </c>
      <c r="L3">
        <v>2.2169999999999998E-3</v>
      </c>
      <c r="M3">
        <v>32.5</v>
      </c>
      <c r="N3" t="s">
        <v>25</v>
      </c>
      <c r="O3" t="s">
        <v>25</v>
      </c>
      <c r="P3">
        <v>1.364E-3</v>
      </c>
      <c r="Q3">
        <v>20</v>
      </c>
      <c r="R3" s="4" t="s">
        <v>637</v>
      </c>
      <c r="S3" t="s">
        <v>487</v>
      </c>
    </row>
    <row r="4" spans="1:19" ht="15" customHeight="1" x14ac:dyDescent="0.25">
      <c r="A4" t="s">
        <v>19</v>
      </c>
      <c r="B4" t="s">
        <v>53</v>
      </c>
      <c r="C4" t="s">
        <v>21</v>
      </c>
      <c r="D4" t="s">
        <v>54</v>
      </c>
      <c r="E4" t="s">
        <v>23</v>
      </c>
      <c r="F4" t="str">
        <f t="shared" si="0"/>
        <v>/code/NLG-S3/markov</v>
      </c>
      <c r="G4" t="s">
        <v>1035</v>
      </c>
      <c r="H4">
        <v>3355.0496870289899</v>
      </c>
      <c r="I4" t="s">
        <v>305</v>
      </c>
      <c r="J4">
        <v>241.451309589999</v>
      </c>
      <c r="K4">
        <v>3.5170000000000002E-3</v>
      </c>
      <c r="L4">
        <v>2.1779999999999998E-3</v>
      </c>
      <c r="M4">
        <v>32.5</v>
      </c>
      <c r="N4" t="s">
        <v>25</v>
      </c>
      <c r="O4" t="s">
        <v>25</v>
      </c>
      <c r="P4">
        <v>1.3389999999999999E-3</v>
      </c>
      <c r="Q4">
        <v>20</v>
      </c>
      <c r="R4" s="4" t="s">
        <v>638</v>
      </c>
      <c r="S4" t="s">
        <v>488</v>
      </c>
    </row>
    <row r="5" spans="1:19" ht="15" customHeight="1" x14ac:dyDescent="0.25">
      <c r="A5" t="s">
        <v>19</v>
      </c>
      <c r="B5" t="s">
        <v>53</v>
      </c>
      <c r="C5" t="s">
        <v>28</v>
      </c>
      <c r="D5" t="s">
        <v>54</v>
      </c>
      <c r="E5" t="s">
        <v>23</v>
      </c>
      <c r="F5" t="str">
        <f t="shared" si="0"/>
        <v>/code/NLG-S3/markov</v>
      </c>
      <c r="G5" t="s">
        <v>1035</v>
      </c>
      <c r="H5">
        <v>1471.79927902999</v>
      </c>
      <c r="I5" t="s">
        <v>303</v>
      </c>
      <c r="J5">
        <v>107.14623553</v>
      </c>
      <c r="K5">
        <v>1.5590000000000001E-3</v>
      </c>
      <c r="L5">
        <v>9.6500000000000004E-4</v>
      </c>
      <c r="M5">
        <v>32.5</v>
      </c>
      <c r="N5" t="s">
        <v>25</v>
      </c>
      <c r="O5" t="s">
        <v>25</v>
      </c>
      <c r="P5">
        <v>5.9299999999999999E-4</v>
      </c>
      <c r="Q5">
        <v>20</v>
      </c>
      <c r="R5" s="4" t="s">
        <v>639</v>
      </c>
      <c r="S5" t="s">
        <v>489</v>
      </c>
    </row>
    <row r="6" spans="1:19" ht="15" customHeight="1" x14ac:dyDescent="0.25">
      <c r="A6" t="s">
        <v>19</v>
      </c>
      <c r="B6" t="s">
        <v>53</v>
      </c>
      <c r="C6" t="s">
        <v>28</v>
      </c>
      <c r="D6" t="s">
        <v>54</v>
      </c>
      <c r="E6" t="s">
        <v>23</v>
      </c>
      <c r="F6" t="str">
        <f t="shared" si="0"/>
        <v>/code/NLG-S3/markov</v>
      </c>
      <c r="G6" t="s">
        <v>1035</v>
      </c>
      <c r="H6">
        <v>1471.79927902999</v>
      </c>
      <c r="I6" t="s">
        <v>304</v>
      </c>
      <c r="J6">
        <v>109.603909169999</v>
      </c>
      <c r="K6">
        <v>1.596E-3</v>
      </c>
      <c r="L6">
        <v>9.8799999999999995E-4</v>
      </c>
      <c r="M6">
        <v>32.5</v>
      </c>
      <c r="N6" t="s">
        <v>25</v>
      </c>
      <c r="O6" t="s">
        <v>25</v>
      </c>
      <c r="P6">
        <v>6.0800000000000003E-4</v>
      </c>
      <c r="Q6">
        <v>20</v>
      </c>
      <c r="R6" s="4" t="s">
        <v>640</v>
      </c>
      <c r="S6" t="s">
        <v>490</v>
      </c>
    </row>
    <row r="7" spans="1:19" ht="15" customHeight="1" x14ac:dyDescent="0.25">
      <c r="A7" t="s">
        <v>19</v>
      </c>
      <c r="B7" t="s">
        <v>53</v>
      </c>
      <c r="C7" t="s">
        <v>28</v>
      </c>
      <c r="D7" t="s">
        <v>54</v>
      </c>
      <c r="E7" t="s">
        <v>23</v>
      </c>
      <c r="F7" t="str">
        <f t="shared" si="0"/>
        <v>/code/NLG-S3/markov</v>
      </c>
      <c r="G7" t="s">
        <v>1035</v>
      </c>
      <c r="H7">
        <v>1471.79927902999</v>
      </c>
      <c r="I7" t="s">
        <v>305</v>
      </c>
      <c r="J7">
        <v>111.157413968</v>
      </c>
      <c r="K7">
        <v>1.6180000000000001E-3</v>
      </c>
      <c r="L7">
        <v>1.0020000000000001E-3</v>
      </c>
      <c r="M7">
        <v>32.5</v>
      </c>
      <c r="N7" t="s">
        <v>25</v>
      </c>
      <c r="O7" t="s">
        <v>25</v>
      </c>
      <c r="P7">
        <v>6.1600000000000001E-4</v>
      </c>
      <c r="Q7">
        <v>20</v>
      </c>
      <c r="R7" s="4" t="s">
        <v>641</v>
      </c>
      <c r="S7" t="s">
        <v>491</v>
      </c>
    </row>
    <row r="8" spans="1:19" ht="15" customHeight="1" x14ac:dyDescent="0.25">
      <c r="A8" t="s">
        <v>19</v>
      </c>
      <c r="B8" t="s">
        <v>53</v>
      </c>
      <c r="C8" t="s">
        <v>31</v>
      </c>
      <c r="D8" t="s">
        <v>54</v>
      </c>
      <c r="E8" t="s">
        <v>23</v>
      </c>
      <c r="F8" t="str">
        <f>"/code/"&amp;"NLG-"&amp;D8&amp;"/lstm"</f>
        <v>/code/NLG-S3/lstm</v>
      </c>
      <c r="G8" t="s">
        <v>1035</v>
      </c>
      <c r="H8">
        <v>85003.844494347999</v>
      </c>
      <c r="I8" t="s">
        <v>303</v>
      </c>
      <c r="J8">
        <v>9337.7246942689999</v>
      </c>
      <c r="K8">
        <v>0.13617099999999999</v>
      </c>
      <c r="L8">
        <v>8.4297999999999998E-2</v>
      </c>
      <c r="M8">
        <v>32.5</v>
      </c>
      <c r="N8" t="s">
        <v>25</v>
      </c>
      <c r="O8" t="s">
        <v>25</v>
      </c>
      <c r="P8">
        <v>5.1874000000000003E-2</v>
      </c>
      <c r="Q8">
        <v>20</v>
      </c>
      <c r="R8" s="4" t="s">
        <v>642</v>
      </c>
      <c r="S8" t="s">
        <v>492</v>
      </c>
    </row>
    <row r="9" spans="1:19" ht="15" customHeight="1" x14ac:dyDescent="0.25">
      <c r="A9" t="s">
        <v>19</v>
      </c>
      <c r="B9" t="s">
        <v>53</v>
      </c>
      <c r="C9" t="s">
        <v>31</v>
      </c>
      <c r="D9" t="s">
        <v>54</v>
      </c>
      <c r="E9" t="s">
        <v>23</v>
      </c>
      <c r="F9" t="str">
        <f>"/code/"&amp;"NLG-"&amp;D9&amp;"/lstm"</f>
        <v>/code/NLG-S3/lstm</v>
      </c>
      <c r="G9" t="s">
        <v>1035</v>
      </c>
      <c r="H9">
        <v>85003.844494347999</v>
      </c>
      <c r="I9" t="s">
        <v>304</v>
      </c>
      <c r="J9">
        <v>9288.0233858280008</v>
      </c>
      <c r="K9">
        <v>0.13544700000000001</v>
      </c>
      <c r="L9">
        <v>8.3849000000000007E-2</v>
      </c>
      <c r="M9">
        <v>32.5</v>
      </c>
      <c r="N9" t="s">
        <v>25</v>
      </c>
      <c r="O9" t="s">
        <v>25</v>
      </c>
      <c r="P9">
        <v>5.1597999999999998E-2</v>
      </c>
      <c r="Q9">
        <v>20</v>
      </c>
      <c r="R9" s="4" t="s">
        <v>643</v>
      </c>
      <c r="S9" t="s">
        <v>493</v>
      </c>
    </row>
    <row r="10" spans="1:19" ht="15" customHeight="1" x14ac:dyDescent="0.25">
      <c r="A10" t="s">
        <v>19</v>
      </c>
      <c r="B10" t="s">
        <v>53</v>
      </c>
      <c r="C10" t="s">
        <v>31</v>
      </c>
      <c r="D10" t="s">
        <v>54</v>
      </c>
      <c r="E10" t="s">
        <v>23</v>
      </c>
      <c r="F10" t="str">
        <f>"/code/"&amp;"NLG-"&amp;D10&amp;"/lstm"</f>
        <v>/code/NLG-S3/lstm</v>
      </c>
      <c r="G10" t="s">
        <v>1035</v>
      </c>
      <c r="H10">
        <v>85003.844494347999</v>
      </c>
      <c r="I10" t="s">
        <v>305</v>
      </c>
      <c r="J10">
        <v>9288.4531648720003</v>
      </c>
      <c r="K10">
        <v>0.13545299999999999</v>
      </c>
      <c r="L10">
        <v>8.3852999999999997E-2</v>
      </c>
      <c r="M10">
        <v>32.5</v>
      </c>
      <c r="N10" t="s">
        <v>25</v>
      </c>
      <c r="O10" t="s">
        <v>25</v>
      </c>
      <c r="P10">
        <v>5.16E-2</v>
      </c>
      <c r="Q10">
        <v>20</v>
      </c>
      <c r="R10" s="4" t="s">
        <v>644</v>
      </c>
      <c r="S10" t="s">
        <v>494</v>
      </c>
    </row>
    <row r="11" spans="1:19" ht="15" customHeight="1" x14ac:dyDescent="0.25">
      <c r="A11" t="s">
        <v>19</v>
      </c>
      <c r="B11" t="s">
        <v>53</v>
      </c>
      <c r="C11" t="s">
        <v>31</v>
      </c>
      <c r="D11" t="s">
        <v>54</v>
      </c>
      <c r="E11" t="s">
        <v>48</v>
      </c>
      <c r="F11" t="str">
        <f>"/code/"&amp;"NLG-"&amp;D11&amp;"/lstm_gpu"</f>
        <v>/code/NLG-S3/lstm_gpu</v>
      </c>
      <c r="G11" t="s">
        <v>1035</v>
      </c>
      <c r="H11">
        <v>85590.618849530001</v>
      </c>
      <c r="I11" t="s">
        <v>303</v>
      </c>
      <c r="J11">
        <v>9354.7097684410001</v>
      </c>
      <c r="K11">
        <v>0.15568000000000001</v>
      </c>
      <c r="L11">
        <v>8.4439E-2</v>
      </c>
      <c r="M11">
        <v>32.5</v>
      </c>
      <c r="N11">
        <v>1.9281E-2</v>
      </c>
      <c r="O11">
        <v>7.5173437769179499</v>
      </c>
      <c r="P11">
        <v>5.1961E-2</v>
      </c>
      <c r="Q11">
        <v>20</v>
      </c>
      <c r="R11" s="4" t="s">
        <v>645</v>
      </c>
      <c r="S11" t="s">
        <v>495</v>
      </c>
    </row>
    <row r="12" spans="1:19" ht="15" customHeight="1" x14ac:dyDescent="0.25">
      <c r="A12" t="s">
        <v>19</v>
      </c>
      <c r="B12" t="s">
        <v>53</v>
      </c>
      <c r="C12" t="s">
        <v>31</v>
      </c>
      <c r="D12" t="s">
        <v>54</v>
      </c>
      <c r="E12" t="s">
        <v>48</v>
      </c>
      <c r="F12" t="str">
        <f>"/code/"&amp;"NLG-"&amp;D12&amp;"/lstm_gpu"</f>
        <v>/code/NLG-S3/lstm_gpu</v>
      </c>
      <c r="G12" t="s">
        <v>1035</v>
      </c>
      <c r="H12">
        <v>85590.618849530001</v>
      </c>
      <c r="I12" t="s">
        <v>304</v>
      </c>
      <c r="J12">
        <v>9354.7916967990004</v>
      </c>
      <c r="K12">
        <v>0.15535499999999999</v>
      </c>
      <c r="L12">
        <v>8.4442000000000003E-2</v>
      </c>
      <c r="M12">
        <v>32.5</v>
      </c>
      <c r="N12">
        <v>1.8950000000000002E-2</v>
      </c>
      <c r="O12">
        <v>7.3758559740209302</v>
      </c>
      <c r="P12">
        <v>5.1963000000000002E-2</v>
      </c>
      <c r="Q12">
        <v>20</v>
      </c>
      <c r="R12" s="4" t="s">
        <v>646</v>
      </c>
      <c r="S12" t="s">
        <v>496</v>
      </c>
    </row>
    <row r="13" spans="1:19" ht="15" customHeight="1" x14ac:dyDescent="0.25">
      <c r="A13" t="s">
        <v>19</v>
      </c>
      <c r="B13" t="s">
        <v>53</v>
      </c>
      <c r="C13" t="s">
        <v>31</v>
      </c>
      <c r="D13" t="s">
        <v>54</v>
      </c>
      <c r="E13" t="s">
        <v>48</v>
      </c>
      <c r="F13" t="str">
        <f>"/code/"&amp;"NLG-"&amp;D13&amp;"/lstm_gpu"</f>
        <v>/code/NLG-S3/lstm_gpu</v>
      </c>
      <c r="G13" t="s">
        <v>1035</v>
      </c>
      <c r="H13">
        <v>85590.618849530001</v>
      </c>
      <c r="I13" t="s">
        <v>305</v>
      </c>
      <c r="J13">
        <v>9354.8047185220003</v>
      </c>
      <c r="K13">
        <v>0.156555</v>
      </c>
      <c r="L13">
        <v>8.4441000000000002E-2</v>
      </c>
      <c r="M13">
        <v>32.5</v>
      </c>
      <c r="N13">
        <v>2.0150999999999999E-2</v>
      </c>
      <c r="O13">
        <v>7.64366304462414</v>
      </c>
      <c r="P13">
        <v>5.1963000000000002E-2</v>
      </c>
      <c r="Q13">
        <v>20</v>
      </c>
      <c r="R13" s="4" t="s">
        <v>647</v>
      </c>
      <c r="S13" t="s">
        <v>497</v>
      </c>
    </row>
    <row r="14" spans="1:19" ht="15" customHeight="1" x14ac:dyDescent="0.25">
      <c r="A14" t="s">
        <v>19</v>
      </c>
      <c r="B14" t="s">
        <v>53</v>
      </c>
      <c r="C14" t="s">
        <v>34</v>
      </c>
      <c r="D14" t="s">
        <v>54</v>
      </c>
      <c r="E14" t="s">
        <v>23</v>
      </c>
      <c r="F14" t="str">
        <f t="shared" ref="F14:F19" si="1">"/code/"&amp;"NLG-"&amp;D14&amp;"/gpt"</f>
        <v>/code/NLG-S3/gpt</v>
      </c>
      <c r="G14" t="s">
        <v>1035</v>
      </c>
      <c r="H14">
        <v>16068.0954078259</v>
      </c>
      <c r="I14" t="s">
        <v>303</v>
      </c>
      <c r="J14">
        <v>1333.4515658739999</v>
      </c>
      <c r="K14">
        <v>1.9446000000000001E-2</v>
      </c>
      <c r="L14">
        <v>1.2038E-2</v>
      </c>
      <c r="M14">
        <v>32.5</v>
      </c>
      <c r="N14" t="s">
        <v>25</v>
      </c>
      <c r="O14" t="s">
        <v>25</v>
      </c>
      <c r="P14">
        <v>7.4079999999999997E-3</v>
      </c>
      <c r="Q14">
        <v>20</v>
      </c>
      <c r="R14" s="4" t="s">
        <v>648</v>
      </c>
      <c r="S14" t="s">
        <v>498</v>
      </c>
    </row>
    <row r="15" spans="1:19" ht="15" customHeight="1" x14ac:dyDescent="0.25">
      <c r="A15" t="s">
        <v>19</v>
      </c>
      <c r="B15" t="s">
        <v>53</v>
      </c>
      <c r="C15" t="s">
        <v>34</v>
      </c>
      <c r="D15" t="s">
        <v>54</v>
      </c>
      <c r="E15" t="s">
        <v>23</v>
      </c>
      <c r="F15" t="str">
        <f t="shared" si="1"/>
        <v>/code/NLG-S3/gpt</v>
      </c>
      <c r="G15" t="s">
        <v>1035</v>
      </c>
      <c r="H15">
        <v>16068.0954078259</v>
      </c>
      <c r="I15" t="s">
        <v>304</v>
      </c>
      <c r="J15">
        <v>1300.7571360219999</v>
      </c>
      <c r="K15">
        <v>1.8969E-2</v>
      </c>
      <c r="L15">
        <v>1.1743E-2</v>
      </c>
      <c r="M15">
        <v>32.5</v>
      </c>
      <c r="N15" t="s">
        <v>25</v>
      </c>
      <c r="O15" t="s">
        <v>25</v>
      </c>
      <c r="P15">
        <v>7.2259999999999998E-3</v>
      </c>
      <c r="Q15">
        <v>20</v>
      </c>
      <c r="R15" s="4" t="s">
        <v>649</v>
      </c>
      <c r="S15" t="s">
        <v>499</v>
      </c>
    </row>
    <row r="16" spans="1:19" ht="15" customHeight="1" x14ac:dyDescent="0.25">
      <c r="A16" t="s">
        <v>19</v>
      </c>
      <c r="B16" t="s">
        <v>53</v>
      </c>
      <c r="C16" t="s">
        <v>34</v>
      </c>
      <c r="D16" t="s">
        <v>54</v>
      </c>
      <c r="E16" t="s">
        <v>23</v>
      </c>
      <c r="F16" t="str">
        <f t="shared" si="1"/>
        <v>/code/NLG-S3/gpt</v>
      </c>
      <c r="G16" t="s">
        <v>1035</v>
      </c>
      <c r="H16">
        <v>16068.0954078259</v>
      </c>
      <c r="I16" t="s">
        <v>305</v>
      </c>
      <c r="J16">
        <v>1309.83031032399</v>
      </c>
      <c r="K16">
        <v>1.9101E-2</v>
      </c>
      <c r="L16">
        <v>1.1825E-2</v>
      </c>
      <c r="M16">
        <v>32.5</v>
      </c>
      <c r="N16" t="s">
        <v>25</v>
      </c>
      <c r="O16" t="s">
        <v>25</v>
      </c>
      <c r="P16">
        <v>7.2769999999999996E-3</v>
      </c>
      <c r="Q16">
        <v>20</v>
      </c>
      <c r="R16" s="4" t="s">
        <v>650</v>
      </c>
      <c r="S16" t="s">
        <v>500</v>
      </c>
    </row>
    <row r="17" spans="1:19" ht="15" customHeight="1" x14ac:dyDescent="0.25">
      <c r="A17" t="s">
        <v>19</v>
      </c>
      <c r="B17" t="s">
        <v>53</v>
      </c>
      <c r="C17" t="s">
        <v>34</v>
      </c>
      <c r="D17" t="s">
        <v>54</v>
      </c>
      <c r="E17" t="s">
        <v>48</v>
      </c>
      <c r="F17" t="str">
        <f t="shared" si="1"/>
        <v>/code/NLG-S3/gpt</v>
      </c>
      <c r="G17" t="s">
        <v>1035</v>
      </c>
      <c r="H17">
        <v>3627.2578113589898</v>
      </c>
      <c r="I17" t="s">
        <v>303</v>
      </c>
      <c r="J17">
        <v>463.79700680099899</v>
      </c>
      <c r="K17">
        <v>1.5018E-2</v>
      </c>
      <c r="L17">
        <v>4.1869999999999997E-3</v>
      </c>
      <c r="M17">
        <v>32.5</v>
      </c>
      <c r="N17">
        <v>8.2550000000000002E-3</v>
      </c>
      <c r="O17">
        <v>64.942346902964005</v>
      </c>
      <c r="P17">
        <v>2.5760000000000002E-3</v>
      </c>
      <c r="Q17">
        <v>20</v>
      </c>
      <c r="R17" s="4" t="s">
        <v>651</v>
      </c>
      <c r="S17" t="s">
        <v>501</v>
      </c>
    </row>
    <row r="18" spans="1:19" ht="15" customHeight="1" x14ac:dyDescent="0.25">
      <c r="A18" t="s">
        <v>19</v>
      </c>
      <c r="B18" t="s">
        <v>53</v>
      </c>
      <c r="C18" t="s">
        <v>34</v>
      </c>
      <c r="D18" t="s">
        <v>54</v>
      </c>
      <c r="E18" t="s">
        <v>48</v>
      </c>
      <c r="F18" t="str">
        <f t="shared" si="1"/>
        <v>/code/NLG-S3/gpt</v>
      </c>
      <c r="G18" t="s">
        <v>1035</v>
      </c>
      <c r="H18">
        <v>3627.2578113589898</v>
      </c>
      <c r="I18" t="s">
        <v>304</v>
      </c>
      <c r="J18">
        <v>550.916289092998</v>
      </c>
      <c r="K18">
        <v>1.7756999999999998E-2</v>
      </c>
      <c r="L18">
        <v>4.973E-3</v>
      </c>
      <c r="M18">
        <v>32.5</v>
      </c>
      <c r="N18">
        <v>9.7230000000000007E-3</v>
      </c>
      <c r="O18">
        <v>61.6231063297353</v>
      </c>
      <c r="P18">
        <v>3.0599999999999998E-3</v>
      </c>
      <c r="Q18">
        <v>20</v>
      </c>
      <c r="R18" s="4" t="s">
        <v>652</v>
      </c>
      <c r="S18" t="s">
        <v>502</v>
      </c>
    </row>
    <row r="19" spans="1:19" ht="15" customHeight="1" x14ac:dyDescent="0.25">
      <c r="A19" t="s">
        <v>19</v>
      </c>
      <c r="B19" t="s">
        <v>53</v>
      </c>
      <c r="C19" t="s">
        <v>34</v>
      </c>
      <c r="D19" t="s">
        <v>54</v>
      </c>
      <c r="E19" t="s">
        <v>48</v>
      </c>
      <c r="F19" t="str">
        <f t="shared" si="1"/>
        <v>/code/NLG-S3/gpt</v>
      </c>
      <c r="G19" t="s">
        <v>1035</v>
      </c>
      <c r="H19">
        <v>3627.2578113589898</v>
      </c>
      <c r="I19" t="s">
        <v>305</v>
      </c>
      <c r="J19">
        <v>480.42288081300097</v>
      </c>
      <c r="K19">
        <v>1.5663E-2</v>
      </c>
      <c r="L19">
        <v>4.3369999999999997E-3</v>
      </c>
      <c r="M19">
        <v>32.5</v>
      </c>
      <c r="N19">
        <v>8.6580000000000008E-3</v>
      </c>
      <c r="O19">
        <v>75.217648635760298</v>
      </c>
      <c r="P19">
        <v>2.6689999999999999E-3</v>
      </c>
      <c r="Q19">
        <v>20</v>
      </c>
      <c r="R19" s="4" t="s">
        <v>653</v>
      </c>
      <c r="S19" t="s">
        <v>503</v>
      </c>
    </row>
    <row r="20" spans="1:19" ht="15" customHeight="1" x14ac:dyDescent="0.25">
      <c r="A20" t="s">
        <v>19</v>
      </c>
      <c r="B20" t="s">
        <v>53</v>
      </c>
      <c r="C20" t="s">
        <v>37</v>
      </c>
      <c r="D20" t="s">
        <v>54</v>
      </c>
      <c r="E20" t="s">
        <v>23</v>
      </c>
      <c r="F20" t="str">
        <f t="shared" ref="F20:F25" si="2">"/code/"&amp;"NLG-"&amp;D20&amp;"/gptfine"</f>
        <v>/code/NLG-S3/gptfine</v>
      </c>
      <c r="G20" t="s">
        <v>1035</v>
      </c>
      <c r="H20">
        <v>15579.4333740969</v>
      </c>
      <c r="I20" t="s">
        <v>303</v>
      </c>
      <c r="J20">
        <v>1379.792222646</v>
      </c>
      <c r="K20">
        <v>2.2623999999999998E-2</v>
      </c>
      <c r="L20">
        <v>1.2455000000000001E-2</v>
      </c>
      <c r="M20">
        <v>32.5</v>
      </c>
      <c r="N20" t="s">
        <v>25</v>
      </c>
      <c r="O20" t="s">
        <v>25</v>
      </c>
      <c r="P20">
        <v>7.6649999999999999E-3</v>
      </c>
      <c r="Q20">
        <v>20</v>
      </c>
      <c r="R20" s="4" t="s">
        <v>771</v>
      </c>
      <c r="S20" t="s">
        <v>504</v>
      </c>
    </row>
    <row r="21" spans="1:19" ht="15" customHeight="1" x14ac:dyDescent="0.25">
      <c r="A21" t="s">
        <v>19</v>
      </c>
      <c r="B21" t="s">
        <v>53</v>
      </c>
      <c r="C21" t="s">
        <v>37</v>
      </c>
      <c r="D21" t="s">
        <v>54</v>
      </c>
      <c r="E21" t="s">
        <v>23</v>
      </c>
      <c r="F21" t="str">
        <f t="shared" si="2"/>
        <v>/code/NLG-S3/gptfine</v>
      </c>
      <c r="G21" t="s">
        <v>1035</v>
      </c>
      <c r="H21">
        <v>15579.4333740969</v>
      </c>
      <c r="I21" t="s">
        <v>304</v>
      </c>
      <c r="J21">
        <v>1351.7788677389899</v>
      </c>
      <c r="K21">
        <v>2.1985000000000001E-2</v>
      </c>
      <c r="L21">
        <v>1.2201999999999999E-2</v>
      </c>
      <c r="M21">
        <v>32.5</v>
      </c>
      <c r="N21" t="s">
        <v>25</v>
      </c>
      <c r="O21" t="s">
        <v>25</v>
      </c>
      <c r="P21">
        <v>7.509E-3</v>
      </c>
      <c r="Q21">
        <v>20</v>
      </c>
      <c r="R21" s="4" t="s">
        <v>772</v>
      </c>
      <c r="S21" t="s">
        <v>505</v>
      </c>
    </row>
    <row r="22" spans="1:19" ht="15" customHeight="1" x14ac:dyDescent="0.25">
      <c r="A22" t="s">
        <v>19</v>
      </c>
      <c r="B22" t="s">
        <v>53</v>
      </c>
      <c r="C22" t="s">
        <v>37</v>
      </c>
      <c r="D22" t="s">
        <v>54</v>
      </c>
      <c r="E22" t="s">
        <v>23</v>
      </c>
      <c r="F22" t="str">
        <f t="shared" si="2"/>
        <v>/code/NLG-S3/gptfine</v>
      </c>
      <c r="G22" t="s">
        <v>1035</v>
      </c>
      <c r="H22">
        <v>15579.4333740969</v>
      </c>
      <c r="I22" t="s">
        <v>305</v>
      </c>
      <c r="J22">
        <v>1371.3207338970001</v>
      </c>
      <c r="K22">
        <v>2.2724999999999999E-2</v>
      </c>
      <c r="L22">
        <v>1.2378999999999999E-2</v>
      </c>
      <c r="M22">
        <v>32.5</v>
      </c>
      <c r="N22" t="s">
        <v>25</v>
      </c>
      <c r="O22" t="s">
        <v>25</v>
      </c>
      <c r="P22">
        <v>7.6179999999999998E-3</v>
      </c>
      <c r="Q22">
        <v>20</v>
      </c>
      <c r="R22" s="4" t="s">
        <v>773</v>
      </c>
      <c r="S22" t="s">
        <v>506</v>
      </c>
    </row>
    <row r="23" spans="1:19" ht="15" customHeight="1" x14ac:dyDescent="0.25">
      <c r="A23" t="s">
        <v>19</v>
      </c>
      <c r="B23" t="s">
        <v>53</v>
      </c>
      <c r="C23" t="s">
        <v>37</v>
      </c>
      <c r="D23" t="s">
        <v>54</v>
      </c>
      <c r="E23" t="s">
        <v>48</v>
      </c>
      <c r="F23" t="str">
        <f t="shared" si="2"/>
        <v>/code/NLG-S3/gptfine</v>
      </c>
      <c r="G23" t="s">
        <v>1035</v>
      </c>
      <c r="H23">
        <v>5349.3007802120001</v>
      </c>
      <c r="I23" t="s">
        <v>303</v>
      </c>
      <c r="J23">
        <v>677.21128861</v>
      </c>
      <c r="K23">
        <v>1.8443000000000001E-2</v>
      </c>
      <c r="L23">
        <v>6.1060000000000003E-3</v>
      </c>
      <c r="M23">
        <v>32.5</v>
      </c>
      <c r="N23">
        <v>8.5900000000000004E-3</v>
      </c>
      <c r="O23">
        <v>61.211699917688499</v>
      </c>
      <c r="P23">
        <v>3.7469999999999999E-3</v>
      </c>
      <c r="Q23">
        <v>20</v>
      </c>
      <c r="R23" s="4" t="s">
        <v>654</v>
      </c>
      <c r="S23" t="s">
        <v>507</v>
      </c>
    </row>
    <row r="24" spans="1:19" ht="15" customHeight="1" x14ac:dyDescent="0.25">
      <c r="A24" t="s">
        <v>19</v>
      </c>
      <c r="B24" t="s">
        <v>53</v>
      </c>
      <c r="C24" t="s">
        <v>37</v>
      </c>
      <c r="D24" t="s">
        <v>54</v>
      </c>
      <c r="E24" t="s">
        <v>48</v>
      </c>
      <c r="F24" t="str">
        <f t="shared" si="2"/>
        <v>/code/NLG-S3/gptfine</v>
      </c>
      <c r="G24" t="s">
        <v>1035</v>
      </c>
      <c r="H24">
        <v>5349.3007802120001</v>
      </c>
      <c r="I24" t="s">
        <v>304</v>
      </c>
      <c r="J24">
        <v>695.91477502999896</v>
      </c>
      <c r="K24">
        <v>1.8745000000000001E-2</v>
      </c>
      <c r="L24">
        <v>6.2769999999999996E-3</v>
      </c>
      <c r="M24">
        <v>32.5</v>
      </c>
      <c r="N24">
        <v>8.6079999999999993E-3</v>
      </c>
      <c r="O24">
        <v>59.156900604602498</v>
      </c>
      <c r="P24">
        <v>3.8600000000000001E-3</v>
      </c>
      <c r="Q24">
        <v>20</v>
      </c>
      <c r="R24" s="4" t="s">
        <v>655</v>
      </c>
      <c r="S24" t="s">
        <v>508</v>
      </c>
    </row>
    <row r="25" spans="1:19" ht="15" customHeight="1" x14ac:dyDescent="0.25">
      <c r="A25" t="s">
        <v>19</v>
      </c>
      <c r="B25" t="s">
        <v>53</v>
      </c>
      <c r="C25" t="s">
        <v>37</v>
      </c>
      <c r="D25" t="s">
        <v>54</v>
      </c>
      <c r="E25" t="s">
        <v>48</v>
      </c>
      <c r="F25" t="str">
        <f t="shared" si="2"/>
        <v>/code/NLG-S3/gptfine</v>
      </c>
      <c r="G25" t="s">
        <v>1035</v>
      </c>
      <c r="H25">
        <v>5349.3007802120001</v>
      </c>
      <c r="I25" t="s">
        <v>305</v>
      </c>
      <c r="J25">
        <v>646.76212305599904</v>
      </c>
      <c r="K25">
        <v>1.7405E-2</v>
      </c>
      <c r="L25">
        <v>5.836E-3</v>
      </c>
      <c r="M25">
        <v>32.5</v>
      </c>
      <c r="N25">
        <v>7.979E-3</v>
      </c>
      <c r="O25">
        <v>69.617767614886702</v>
      </c>
      <c r="P25">
        <v>3.5899999999999999E-3</v>
      </c>
      <c r="Q25">
        <v>20</v>
      </c>
      <c r="R25" s="4" t="s">
        <v>656</v>
      </c>
      <c r="S25" t="s">
        <v>509</v>
      </c>
    </row>
    <row r="28" spans="1:19" ht="15" customHeight="1" x14ac:dyDescent="0.25">
      <c r="A28" t="s">
        <v>71</v>
      </c>
      <c r="B28" t="s">
        <v>105</v>
      </c>
      <c r="C28" t="s">
        <v>73</v>
      </c>
      <c r="D28" t="s">
        <v>54</v>
      </c>
      <c r="E28" t="s">
        <v>23</v>
      </c>
      <c r="F28" t="str">
        <f t="shared" ref="F28" si="3">"/code/"&amp;"TS1-"&amp;D28</f>
        <v>/code/TS1-S3</v>
      </c>
      <c r="G28" t="s">
        <v>1036</v>
      </c>
      <c r="H28">
        <v>283.303837112</v>
      </c>
      <c r="I28" t="s">
        <v>303</v>
      </c>
      <c r="J28">
        <v>30.111659481000899</v>
      </c>
      <c r="K28">
        <v>5.0500000000000002E-4</v>
      </c>
      <c r="L28">
        <v>2.72E-4</v>
      </c>
      <c r="M28">
        <v>32.5</v>
      </c>
      <c r="N28" t="s">
        <v>25</v>
      </c>
      <c r="O28" t="s">
        <v>25</v>
      </c>
      <c r="P28">
        <v>1.6699999999999999E-4</v>
      </c>
      <c r="Q28">
        <v>20</v>
      </c>
      <c r="R28" s="4" t="s">
        <v>776</v>
      </c>
      <c r="S28" t="s">
        <v>510</v>
      </c>
    </row>
    <row r="29" spans="1:19" ht="15" customHeight="1" x14ac:dyDescent="0.25">
      <c r="A29" t="s">
        <v>71</v>
      </c>
      <c r="B29" t="s">
        <v>105</v>
      </c>
      <c r="C29" t="s">
        <v>73</v>
      </c>
      <c r="D29" t="s">
        <v>54</v>
      </c>
      <c r="E29" t="s">
        <v>23</v>
      </c>
      <c r="F29" t="str">
        <f t="shared" ref="F29" si="4">"/code/"&amp;"TS1-"&amp;D29</f>
        <v>/code/TS1-S3</v>
      </c>
      <c r="G29" t="s">
        <v>1036</v>
      </c>
      <c r="H29">
        <v>283.303837112</v>
      </c>
      <c r="I29" t="s">
        <v>304</v>
      </c>
      <c r="J29">
        <v>30.342667220000202</v>
      </c>
      <c r="K29">
        <v>5.0100000000000003E-4</v>
      </c>
      <c r="L29">
        <v>2.7300000000000002E-4</v>
      </c>
      <c r="M29">
        <v>32.5</v>
      </c>
      <c r="N29" t="s">
        <v>25</v>
      </c>
      <c r="O29" t="s">
        <v>25</v>
      </c>
      <c r="P29">
        <v>1.6799999999999999E-4</v>
      </c>
      <c r="Q29">
        <v>20</v>
      </c>
      <c r="R29" s="4" t="s">
        <v>777</v>
      </c>
      <c r="S29" t="s">
        <v>511</v>
      </c>
    </row>
    <row r="30" spans="1:19" ht="15" customHeight="1" x14ac:dyDescent="0.25">
      <c r="A30" t="s">
        <v>71</v>
      </c>
      <c r="B30" t="s">
        <v>105</v>
      </c>
      <c r="C30" t="s">
        <v>73</v>
      </c>
      <c r="D30" t="s">
        <v>54</v>
      </c>
      <c r="E30" t="s">
        <v>23</v>
      </c>
      <c r="F30" t="str">
        <f t="shared" ref="F30:F57" si="5">"/code/"&amp;"TS1-"&amp;D30</f>
        <v>/code/TS1-S3</v>
      </c>
      <c r="G30" t="s">
        <v>1036</v>
      </c>
      <c r="H30">
        <v>283.303837112</v>
      </c>
      <c r="I30" t="s">
        <v>305</v>
      </c>
      <c r="J30">
        <v>29.8351195340001</v>
      </c>
      <c r="K30">
        <v>4.9299999999999995E-4</v>
      </c>
      <c r="L30">
        <v>2.6899999999999998E-4</v>
      </c>
      <c r="M30">
        <v>32.5</v>
      </c>
      <c r="N30" t="s">
        <v>25</v>
      </c>
      <c r="O30" t="s">
        <v>25</v>
      </c>
      <c r="P30">
        <v>1.66E-4</v>
      </c>
      <c r="Q30">
        <v>20</v>
      </c>
      <c r="R30" s="4" t="s">
        <v>778</v>
      </c>
      <c r="S30" t="s">
        <v>512</v>
      </c>
    </row>
    <row r="31" spans="1:19" ht="15" customHeight="1" x14ac:dyDescent="0.25">
      <c r="A31" t="s">
        <v>71</v>
      </c>
      <c r="B31" t="s">
        <v>105</v>
      </c>
      <c r="C31" t="s">
        <v>77</v>
      </c>
      <c r="D31" t="s">
        <v>54</v>
      </c>
      <c r="E31" t="s">
        <v>23</v>
      </c>
      <c r="F31" t="str">
        <f t="shared" si="5"/>
        <v>/code/TS1-S3</v>
      </c>
      <c r="G31" t="s">
        <v>1036</v>
      </c>
      <c r="H31">
        <v>242.360415123</v>
      </c>
      <c r="I31" t="s">
        <v>303</v>
      </c>
      <c r="J31">
        <v>26.058039603998601</v>
      </c>
      <c r="K31">
        <v>4.2999999999999999E-4</v>
      </c>
      <c r="L31">
        <v>2.3499999999999999E-4</v>
      </c>
      <c r="M31">
        <v>32.5</v>
      </c>
      <c r="N31" t="s">
        <v>25</v>
      </c>
      <c r="O31" t="s">
        <v>25</v>
      </c>
      <c r="P31">
        <v>1.45E-4</v>
      </c>
      <c r="Q31">
        <v>20</v>
      </c>
      <c r="R31" s="4" t="s">
        <v>779</v>
      </c>
      <c r="S31" t="s">
        <v>513</v>
      </c>
    </row>
    <row r="32" spans="1:19" ht="15" customHeight="1" x14ac:dyDescent="0.25">
      <c r="A32" t="s">
        <v>71</v>
      </c>
      <c r="B32" t="s">
        <v>105</v>
      </c>
      <c r="C32" t="s">
        <v>77</v>
      </c>
      <c r="D32" t="s">
        <v>54</v>
      </c>
      <c r="E32" t="s">
        <v>23</v>
      </c>
      <c r="F32" t="str">
        <f t="shared" ref="F32" si="6">"/code/"&amp;"TS1-"&amp;D32</f>
        <v>/code/TS1-S3</v>
      </c>
      <c r="G32" t="s">
        <v>1036</v>
      </c>
      <c r="H32">
        <v>242.360415123</v>
      </c>
      <c r="I32" t="s">
        <v>304</v>
      </c>
      <c r="J32">
        <v>25.173882942999601</v>
      </c>
      <c r="K32">
        <v>4.1599999999999997E-4</v>
      </c>
      <c r="L32">
        <v>2.2699999999999999E-4</v>
      </c>
      <c r="M32">
        <v>32.5</v>
      </c>
      <c r="N32" t="s">
        <v>25</v>
      </c>
      <c r="O32" t="s">
        <v>25</v>
      </c>
      <c r="P32">
        <v>1.3999999999999999E-4</v>
      </c>
      <c r="Q32">
        <v>20</v>
      </c>
      <c r="R32" s="4" t="s">
        <v>780</v>
      </c>
      <c r="S32" t="s">
        <v>514</v>
      </c>
    </row>
    <row r="33" spans="1:19" ht="15" customHeight="1" x14ac:dyDescent="0.25">
      <c r="A33" t="s">
        <v>71</v>
      </c>
      <c r="B33" t="s">
        <v>105</v>
      </c>
      <c r="C33" t="s">
        <v>77</v>
      </c>
      <c r="D33" t="s">
        <v>54</v>
      </c>
      <c r="E33" t="s">
        <v>23</v>
      </c>
      <c r="F33" t="str">
        <f t="shared" si="5"/>
        <v>/code/TS1-S3</v>
      </c>
      <c r="G33" t="s">
        <v>1036</v>
      </c>
      <c r="H33">
        <v>242.360415123</v>
      </c>
      <c r="I33" t="s">
        <v>305</v>
      </c>
      <c r="J33">
        <v>24.7205938270017</v>
      </c>
      <c r="K33">
        <v>4.08E-4</v>
      </c>
      <c r="L33">
        <v>2.23E-4</v>
      </c>
      <c r="M33">
        <v>32.5</v>
      </c>
      <c r="N33" t="s">
        <v>25</v>
      </c>
      <c r="O33" t="s">
        <v>25</v>
      </c>
      <c r="P33">
        <v>1.37E-4</v>
      </c>
      <c r="Q33">
        <v>20</v>
      </c>
      <c r="R33" s="4" t="s">
        <v>775</v>
      </c>
      <c r="S33" t="s">
        <v>515</v>
      </c>
    </row>
    <row r="34" spans="1:19" ht="15" customHeight="1" x14ac:dyDescent="0.25">
      <c r="A34" t="s">
        <v>71</v>
      </c>
      <c r="B34" t="s">
        <v>105</v>
      </c>
      <c r="C34" t="s">
        <v>80</v>
      </c>
      <c r="D34" t="s">
        <v>54</v>
      </c>
      <c r="E34" t="s">
        <v>23</v>
      </c>
      <c r="F34" t="str">
        <f t="shared" si="5"/>
        <v>/code/TS1-S3</v>
      </c>
      <c r="G34" t="s">
        <v>1036</v>
      </c>
      <c r="H34">
        <v>4284.718199035</v>
      </c>
      <c r="I34" t="s">
        <v>303</v>
      </c>
      <c r="J34">
        <v>453.01470709900201</v>
      </c>
      <c r="K34">
        <v>6.607E-3</v>
      </c>
      <c r="L34">
        <v>4.0899999999999999E-3</v>
      </c>
      <c r="M34">
        <v>32.5</v>
      </c>
      <c r="N34" t="s">
        <v>25</v>
      </c>
      <c r="O34" t="s">
        <v>25</v>
      </c>
      <c r="P34">
        <v>2.5170000000000001E-3</v>
      </c>
      <c r="Q34">
        <v>20</v>
      </c>
      <c r="R34" s="4" t="s">
        <v>657</v>
      </c>
      <c r="S34" t="s">
        <v>516</v>
      </c>
    </row>
    <row r="35" spans="1:19" ht="15" customHeight="1" x14ac:dyDescent="0.25">
      <c r="A35" t="s">
        <v>71</v>
      </c>
      <c r="B35" t="s">
        <v>105</v>
      </c>
      <c r="C35" t="s">
        <v>80</v>
      </c>
      <c r="D35" t="s">
        <v>54</v>
      </c>
      <c r="E35" t="s">
        <v>23</v>
      </c>
      <c r="F35" t="str">
        <f t="shared" ref="F35" si="7">"/code/"&amp;"TS1-"&amp;D35</f>
        <v>/code/TS1-S3</v>
      </c>
      <c r="G35" t="s">
        <v>1036</v>
      </c>
      <c r="H35">
        <v>4284.718199035</v>
      </c>
      <c r="I35" t="s">
        <v>304</v>
      </c>
      <c r="J35">
        <v>444.52827134300202</v>
      </c>
      <c r="K35">
        <v>6.483E-3</v>
      </c>
      <c r="L35">
        <v>4.0130000000000001E-3</v>
      </c>
      <c r="M35">
        <v>32.5</v>
      </c>
      <c r="N35" t="s">
        <v>25</v>
      </c>
      <c r="O35" t="s">
        <v>25</v>
      </c>
      <c r="P35">
        <v>2.47E-3</v>
      </c>
      <c r="Q35">
        <v>20</v>
      </c>
      <c r="R35" s="4" t="s">
        <v>774</v>
      </c>
      <c r="S35" t="s">
        <v>517</v>
      </c>
    </row>
    <row r="36" spans="1:19" ht="15" customHeight="1" x14ac:dyDescent="0.25">
      <c r="A36" t="s">
        <v>71</v>
      </c>
      <c r="B36" t="s">
        <v>105</v>
      </c>
      <c r="C36" t="s">
        <v>80</v>
      </c>
      <c r="D36" t="s">
        <v>54</v>
      </c>
      <c r="E36" t="s">
        <v>23</v>
      </c>
      <c r="F36" t="str">
        <f t="shared" si="5"/>
        <v>/code/TS1-S3</v>
      </c>
      <c r="G36" t="s">
        <v>1036</v>
      </c>
      <c r="H36">
        <v>4284.718199035</v>
      </c>
      <c r="I36" t="s">
        <v>305</v>
      </c>
      <c r="J36">
        <v>443.56451157899897</v>
      </c>
      <c r="K36">
        <v>6.4689999999999999E-3</v>
      </c>
      <c r="L36">
        <v>4.0049999999999999E-3</v>
      </c>
      <c r="M36">
        <v>32.5</v>
      </c>
      <c r="N36" t="s">
        <v>25</v>
      </c>
      <c r="O36" t="s">
        <v>25</v>
      </c>
      <c r="P36">
        <v>2.464E-3</v>
      </c>
      <c r="Q36">
        <v>20</v>
      </c>
      <c r="R36" s="4" t="s">
        <v>658</v>
      </c>
      <c r="S36" t="s">
        <v>518</v>
      </c>
    </row>
    <row r="37" spans="1:19" ht="15" customHeight="1" x14ac:dyDescent="0.25">
      <c r="A37" t="s">
        <v>71</v>
      </c>
      <c r="B37" t="s">
        <v>105</v>
      </c>
      <c r="C37" t="s">
        <v>80</v>
      </c>
      <c r="D37" t="s">
        <v>54</v>
      </c>
      <c r="E37" t="s">
        <v>48</v>
      </c>
      <c r="F37" t="str">
        <f t="shared" si="5"/>
        <v>/code/TS1-S3</v>
      </c>
      <c r="G37" t="s">
        <v>1036</v>
      </c>
      <c r="H37">
        <v>2386.3087828129901</v>
      </c>
      <c r="I37" t="s">
        <v>303</v>
      </c>
      <c r="J37">
        <v>261.11697365100099</v>
      </c>
      <c r="K37">
        <v>7.0800000000000004E-3</v>
      </c>
      <c r="L37">
        <v>2.3570000000000002E-3</v>
      </c>
      <c r="M37">
        <v>32.5</v>
      </c>
      <c r="N37">
        <v>3.2720000000000002E-3</v>
      </c>
      <c r="O37">
        <v>47.574764442061202</v>
      </c>
      <c r="P37">
        <v>1.451E-3</v>
      </c>
      <c r="Q37">
        <v>20</v>
      </c>
      <c r="R37" s="4" t="s">
        <v>659</v>
      </c>
      <c r="S37" t="s">
        <v>519</v>
      </c>
    </row>
    <row r="38" spans="1:19" ht="15" customHeight="1" x14ac:dyDescent="0.25">
      <c r="A38" t="s">
        <v>71</v>
      </c>
      <c r="B38" t="s">
        <v>105</v>
      </c>
      <c r="C38" t="s">
        <v>80</v>
      </c>
      <c r="D38" t="s">
        <v>54</v>
      </c>
      <c r="E38" t="s">
        <v>48</v>
      </c>
      <c r="F38" t="str">
        <f t="shared" ref="F38" si="8">"/code/"&amp;"TS1-"&amp;D38</f>
        <v>/code/TS1-S3</v>
      </c>
      <c r="G38" t="s">
        <v>1036</v>
      </c>
      <c r="H38">
        <v>2386.3087828129901</v>
      </c>
      <c r="I38" t="s">
        <v>304</v>
      </c>
      <c r="J38">
        <v>256.64626684200198</v>
      </c>
      <c r="K38">
        <v>7.012E-3</v>
      </c>
      <c r="L38">
        <v>2.317E-3</v>
      </c>
      <c r="M38">
        <v>32.5</v>
      </c>
      <c r="N38">
        <v>3.2690000000000002E-3</v>
      </c>
      <c r="O38">
        <v>52.5204399599723</v>
      </c>
      <c r="P38">
        <v>1.426E-3</v>
      </c>
      <c r="Q38">
        <v>20</v>
      </c>
      <c r="R38" s="4" t="s">
        <v>660</v>
      </c>
      <c r="S38" t="s">
        <v>520</v>
      </c>
    </row>
    <row r="39" spans="1:19" ht="15" customHeight="1" x14ac:dyDescent="0.25">
      <c r="A39" t="s">
        <v>71</v>
      </c>
      <c r="B39" t="s">
        <v>105</v>
      </c>
      <c r="C39" t="s">
        <v>80</v>
      </c>
      <c r="D39" t="s">
        <v>54</v>
      </c>
      <c r="E39" t="s">
        <v>48</v>
      </c>
      <c r="F39" t="str">
        <f t="shared" si="5"/>
        <v>/code/TS1-S3</v>
      </c>
      <c r="G39" t="s">
        <v>1036</v>
      </c>
      <c r="H39">
        <v>2386.3087828129901</v>
      </c>
      <c r="I39" t="s">
        <v>305</v>
      </c>
      <c r="J39">
        <v>257.211165859</v>
      </c>
      <c r="K39">
        <v>7.0460000000000002E-3</v>
      </c>
      <c r="L39">
        <v>2.3219999999999998E-3</v>
      </c>
      <c r="M39">
        <v>32.5</v>
      </c>
      <c r="N39">
        <v>3.2950000000000002E-3</v>
      </c>
      <c r="O39">
        <v>58.355603215562098</v>
      </c>
      <c r="P39">
        <v>1.4289999999999999E-3</v>
      </c>
      <c r="Q39">
        <v>20</v>
      </c>
      <c r="R39" s="4" t="s">
        <v>661</v>
      </c>
      <c r="S39" t="s">
        <v>521</v>
      </c>
    </row>
    <row r="40" spans="1:19" ht="15" customHeight="1" x14ac:dyDescent="0.25">
      <c r="A40" t="s">
        <v>71</v>
      </c>
      <c r="B40" t="s">
        <v>105</v>
      </c>
      <c r="C40" t="s">
        <v>83</v>
      </c>
      <c r="D40" t="s">
        <v>54</v>
      </c>
      <c r="E40" t="s">
        <v>23</v>
      </c>
      <c r="F40" t="str">
        <f t="shared" si="5"/>
        <v>/code/TS1-S3</v>
      </c>
      <c r="G40" t="s">
        <v>1036</v>
      </c>
      <c r="H40">
        <v>8900.7688035200008</v>
      </c>
      <c r="I40" t="s">
        <v>303</v>
      </c>
      <c r="J40">
        <v>914.44569343199998</v>
      </c>
      <c r="K40">
        <v>1.3334E-2</v>
      </c>
      <c r="L40">
        <v>8.2550000000000002E-3</v>
      </c>
      <c r="M40">
        <v>32.5</v>
      </c>
      <c r="N40" t="s">
        <v>25</v>
      </c>
      <c r="O40" t="s">
        <v>25</v>
      </c>
      <c r="P40">
        <v>5.0790000000000002E-3</v>
      </c>
      <c r="Q40">
        <v>20</v>
      </c>
      <c r="R40" s="4" t="s">
        <v>662</v>
      </c>
      <c r="S40" t="s">
        <v>522</v>
      </c>
    </row>
    <row r="41" spans="1:19" ht="15" customHeight="1" x14ac:dyDescent="0.25">
      <c r="A41" t="s">
        <v>71</v>
      </c>
      <c r="B41" t="s">
        <v>105</v>
      </c>
      <c r="C41" t="s">
        <v>83</v>
      </c>
      <c r="D41" t="s">
        <v>54</v>
      </c>
      <c r="E41" t="s">
        <v>23</v>
      </c>
      <c r="F41" t="str">
        <f t="shared" ref="F41" si="9">"/code/"&amp;"TS1-"&amp;D41</f>
        <v>/code/TS1-S3</v>
      </c>
      <c r="G41" t="s">
        <v>1036</v>
      </c>
      <c r="H41">
        <v>8900.7688035200008</v>
      </c>
      <c r="I41" t="s">
        <v>304</v>
      </c>
      <c r="J41">
        <v>913.57581202099698</v>
      </c>
      <c r="K41">
        <v>1.3321E-2</v>
      </c>
      <c r="L41">
        <v>8.2470000000000009E-3</v>
      </c>
      <c r="M41">
        <v>32.5</v>
      </c>
      <c r="N41" t="s">
        <v>25</v>
      </c>
      <c r="O41" t="s">
        <v>25</v>
      </c>
      <c r="P41">
        <v>5.0740000000000004E-3</v>
      </c>
      <c r="Q41">
        <v>20</v>
      </c>
      <c r="R41" s="4" t="s">
        <v>663</v>
      </c>
      <c r="S41" t="s">
        <v>523</v>
      </c>
    </row>
    <row r="42" spans="1:19" ht="15" customHeight="1" x14ac:dyDescent="0.25">
      <c r="A42" t="s">
        <v>71</v>
      </c>
      <c r="B42" t="s">
        <v>105</v>
      </c>
      <c r="C42" t="s">
        <v>83</v>
      </c>
      <c r="D42" t="s">
        <v>54</v>
      </c>
      <c r="E42" t="s">
        <v>23</v>
      </c>
      <c r="F42" t="str">
        <f t="shared" si="5"/>
        <v>/code/TS1-S3</v>
      </c>
      <c r="G42" t="s">
        <v>1036</v>
      </c>
      <c r="H42">
        <v>8900.7688035200008</v>
      </c>
      <c r="I42" t="s">
        <v>305</v>
      </c>
      <c r="J42">
        <v>894.21288847999995</v>
      </c>
      <c r="K42">
        <v>1.3039E-2</v>
      </c>
      <c r="L42">
        <v>8.0719999999999993E-3</v>
      </c>
      <c r="M42">
        <v>32.5</v>
      </c>
      <c r="N42" t="s">
        <v>25</v>
      </c>
      <c r="O42" t="s">
        <v>25</v>
      </c>
      <c r="P42">
        <v>4.9670000000000001E-3</v>
      </c>
      <c r="Q42">
        <v>20</v>
      </c>
      <c r="R42" s="4" t="s">
        <v>664</v>
      </c>
      <c r="S42" t="s">
        <v>524</v>
      </c>
    </row>
    <row r="43" spans="1:19" ht="15" customHeight="1" x14ac:dyDescent="0.25">
      <c r="A43" t="s">
        <v>71</v>
      </c>
      <c r="B43" t="s">
        <v>105</v>
      </c>
      <c r="C43" t="s">
        <v>83</v>
      </c>
      <c r="D43" t="s">
        <v>54</v>
      </c>
      <c r="E43" t="s">
        <v>48</v>
      </c>
      <c r="F43" t="str">
        <f t="shared" si="5"/>
        <v>/code/TS1-S3</v>
      </c>
      <c r="G43" t="s">
        <v>1036</v>
      </c>
      <c r="H43">
        <v>3652.6855469779998</v>
      </c>
      <c r="I43" t="s">
        <v>303</v>
      </c>
      <c r="J43">
        <v>403.36262588199997</v>
      </c>
      <c r="K43">
        <v>1.1162E-2</v>
      </c>
      <c r="L43">
        <v>3.6410000000000001E-3</v>
      </c>
      <c r="M43">
        <v>32.5</v>
      </c>
      <c r="N43">
        <v>5.2810000000000001E-3</v>
      </c>
      <c r="O43">
        <v>52.5912266585661</v>
      </c>
      <c r="P43">
        <v>2.2399999999999998E-3</v>
      </c>
      <c r="Q43">
        <v>20</v>
      </c>
      <c r="R43" s="4" t="s">
        <v>665</v>
      </c>
      <c r="S43" t="s">
        <v>525</v>
      </c>
    </row>
    <row r="44" spans="1:19" ht="15" customHeight="1" x14ac:dyDescent="0.25">
      <c r="A44" t="s">
        <v>71</v>
      </c>
      <c r="B44" t="s">
        <v>105</v>
      </c>
      <c r="C44" t="s">
        <v>83</v>
      </c>
      <c r="D44" t="s">
        <v>54</v>
      </c>
      <c r="E44" t="s">
        <v>48</v>
      </c>
      <c r="F44" t="str">
        <f t="shared" ref="F44" si="10">"/code/"&amp;"TS1-"&amp;D44</f>
        <v>/code/TS1-S3</v>
      </c>
      <c r="G44" t="s">
        <v>1036</v>
      </c>
      <c r="H44">
        <v>3652.6855469779998</v>
      </c>
      <c r="I44" t="s">
        <v>304</v>
      </c>
      <c r="J44">
        <v>402.718811005997</v>
      </c>
      <c r="K44">
        <v>1.1107000000000001E-2</v>
      </c>
      <c r="L44">
        <v>3.6340000000000001E-3</v>
      </c>
      <c r="M44">
        <v>32.5</v>
      </c>
      <c r="N44">
        <v>5.2379999999999996E-3</v>
      </c>
      <c r="O44">
        <v>45.647919057594599</v>
      </c>
      <c r="P44">
        <v>2.235E-3</v>
      </c>
      <c r="Q44">
        <v>20</v>
      </c>
      <c r="R44" s="4" t="s">
        <v>666</v>
      </c>
      <c r="S44" t="s">
        <v>526</v>
      </c>
    </row>
    <row r="45" spans="1:19" ht="15" customHeight="1" x14ac:dyDescent="0.25">
      <c r="A45" t="s">
        <v>71</v>
      </c>
      <c r="B45" t="s">
        <v>105</v>
      </c>
      <c r="C45" t="s">
        <v>83</v>
      </c>
      <c r="D45" t="s">
        <v>54</v>
      </c>
      <c r="E45" t="s">
        <v>48</v>
      </c>
      <c r="F45" t="str">
        <f t="shared" si="5"/>
        <v>/code/TS1-S3</v>
      </c>
      <c r="G45" t="s">
        <v>1036</v>
      </c>
      <c r="H45">
        <v>3652.6855469779998</v>
      </c>
      <c r="I45" t="s">
        <v>305</v>
      </c>
      <c r="J45">
        <v>398.11551186699899</v>
      </c>
      <c r="K45">
        <v>1.0944000000000001E-2</v>
      </c>
      <c r="L45">
        <v>3.5929999999999998E-3</v>
      </c>
      <c r="M45">
        <v>32.5</v>
      </c>
      <c r="N45">
        <v>5.1399999999999996E-3</v>
      </c>
      <c r="O45">
        <v>46.818897093000999</v>
      </c>
      <c r="P45">
        <v>2.2109999999999999E-3</v>
      </c>
      <c r="Q45">
        <v>20</v>
      </c>
      <c r="R45" s="4" t="s">
        <v>667</v>
      </c>
      <c r="S45" t="s">
        <v>527</v>
      </c>
    </row>
    <row r="46" spans="1:19" ht="15" customHeight="1" x14ac:dyDescent="0.25">
      <c r="A46" t="s">
        <v>71</v>
      </c>
      <c r="B46" t="s">
        <v>105</v>
      </c>
      <c r="C46" t="s">
        <v>86</v>
      </c>
      <c r="D46" t="s">
        <v>54</v>
      </c>
      <c r="E46" t="s">
        <v>23</v>
      </c>
      <c r="F46" t="str">
        <f t="shared" si="5"/>
        <v>/code/TS1-S3</v>
      </c>
      <c r="G46" t="s">
        <v>1036</v>
      </c>
      <c r="H46">
        <v>5648.9551871949898</v>
      </c>
      <c r="I46" t="s">
        <v>303</v>
      </c>
      <c r="J46">
        <v>559.89621039199994</v>
      </c>
      <c r="K46">
        <v>8.1639999999999994E-3</v>
      </c>
      <c r="L46">
        <v>5.0549999999999996E-3</v>
      </c>
      <c r="M46">
        <v>32.5</v>
      </c>
      <c r="N46" t="s">
        <v>25</v>
      </c>
      <c r="O46" t="s">
        <v>25</v>
      </c>
      <c r="P46">
        <v>3.1099999999999999E-3</v>
      </c>
      <c r="Q46">
        <v>20</v>
      </c>
      <c r="R46" s="4" t="s">
        <v>668</v>
      </c>
      <c r="S46" t="s">
        <v>528</v>
      </c>
    </row>
    <row r="47" spans="1:19" ht="15" customHeight="1" x14ac:dyDescent="0.25">
      <c r="A47" t="s">
        <v>71</v>
      </c>
      <c r="B47" t="s">
        <v>105</v>
      </c>
      <c r="C47" t="s">
        <v>86</v>
      </c>
      <c r="D47" t="s">
        <v>54</v>
      </c>
      <c r="E47" t="s">
        <v>23</v>
      </c>
      <c r="F47" t="str">
        <f t="shared" ref="F47" si="11">"/code/"&amp;"TS1-"&amp;D47</f>
        <v>/code/TS1-S3</v>
      </c>
      <c r="G47" t="s">
        <v>1036</v>
      </c>
      <c r="H47">
        <v>5648.9551871949898</v>
      </c>
      <c r="I47" t="s">
        <v>304</v>
      </c>
      <c r="J47">
        <v>560.28784036100103</v>
      </c>
      <c r="K47">
        <v>8.1709999999999994E-3</v>
      </c>
      <c r="L47">
        <v>5.058E-3</v>
      </c>
      <c r="M47">
        <v>32.5</v>
      </c>
      <c r="N47" t="s">
        <v>25</v>
      </c>
      <c r="O47" t="s">
        <v>25</v>
      </c>
      <c r="P47">
        <v>3.1129999999999999E-3</v>
      </c>
      <c r="Q47">
        <v>20</v>
      </c>
      <c r="R47" s="4" t="s">
        <v>669</v>
      </c>
      <c r="S47" t="s">
        <v>529</v>
      </c>
    </row>
    <row r="48" spans="1:19" ht="15" customHeight="1" x14ac:dyDescent="0.25">
      <c r="A48" t="s">
        <v>71</v>
      </c>
      <c r="B48" t="s">
        <v>105</v>
      </c>
      <c r="C48" t="s">
        <v>86</v>
      </c>
      <c r="D48" t="s">
        <v>54</v>
      </c>
      <c r="E48" t="s">
        <v>23</v>
      </c>
      <c r="F48" t="str">
        <f t="shared" si="5"/>
        <v>/code/TS1-S3</v>
      </c>
      <c r="G48" t="s">
        <v>1036</v>
      </c>
      <c r="H48">
        <v>5648.9551871949898</v>
      </c>
      <c r="I48" t="s">
        <v>305</v>
      </c>
      <c r="J48">
        <v>581.78412929399894</v>
      </c>
      <c r="K48">
        <v>8.4779999999999994E-3</v>
      </c>
      <c r="L48">
        <v>5.2490000000000002E-3</v>
      </c>
      <c r="M48">
        <v>32.5</v>
      </c>
      <c r="N48" t="s">
        <v>25</v>
      </c>
      <c r="O48" t="s">
        <v>25</v>
      </c>
      <c r="P48">
        <v>3.2290000000000001E-3</v>
      </c>
      <c r="Q48">
        <v>20</v>
      </c>
      <c r="R48" s="4" t="s">
        <v>670</v>
      </c>
      <c r="S48" t="s">
        <v>530</v>
      </c>
    </row>
    <row r="49" spans="1:19" ht="15" customHeight="1" x14ac:dyDescent="0.25">
      <c r="A49" t="s">
        <v>71</v>
      </c>
      <c r="B49" t="s">
        <v>105</v>
      </c>
      <c r="C49" t="s">
        <v>86</v>
      </c>
      <c r="D49" t="s">
        <v>54</v>
      </c>
      <c r="E49" t="s">
        <v>48</v>
      </c>
      <c r="F49" t="str">
        <f t="shared" si="5"/>
        <v>/code/TS1-S3</v>
      </c>
      <c r="G49" t="s">
        <v>1036</v>
      </c>
      <c r="H49">
        <v>3772.9287908319998</v>
      </c>
      <c r="I49" t="s">
        <v>303</v>
      </c>
      <c r="J49">
        <v>417.11805439400001</v>
      </c>
      <c r="K49">
        <v>9.9950000000000004E-3</v>
      </c>
      <c r="L49">
        <v>3.764E-3</v>
      </c>
      <c r="M49">
        <v>32.5</v>
      </c>
      <c r="N49">
        <v>3.9170000000000003E-3</v>
      </c>
      <c r="O49">
        <v>34.087905619208698</v>
      </c>
      <c r="P49">
        <v>2.3140000000000001E-3</v>
      </c>
      <c r="Q49">
        <v>20</v>
      </c>
      <c r="R49" s="4" t="s">
        <v>671</v>
      </c>
      <c r="S49" t="s">
        <v>531</v>
      </c>
    </row>
    <row r="50" spans="1:19" ht="15" customHeight="1" x14ac:dyDescent="0.25">
      <c r="A50" t="s">
        <v>71</v>
      </c>
      <c r="B50" t="s">
        <v>105</v>
      </c>
      <c r="C50" t="s">
        <v>86</v>
      </c>
      <c r="D50" t="s">
        <v>54</v>
      </c>
      <c r="E50" t="s">
        <v>48</v>
      </c>
      <c r="F50" t="str">
        <f t="shared" ref="F50" si="12">"/code/"&amp;"TS1-"&amp;D50</f>
        <v>/code/TS1-S3</v>
      </c>
      <c r="G50" t="s">
        <v>1036</v>
      </c>
      <c r="H50">
        <v>3772.9287908319998</v>
      </c>
      <c r="I50" t="s">
        <v>304</v>
      </c>
      <c r="J50">
        <v>418.71529307699899</v>
      </c>
      <c r="K50">
        <v>1.0059999999999999E-2</v>
      </c>
      <c r="L50">
        <v>3.777E-3</v>
      </c>
      <c r="M50">
        <v>32.5</v>
      </c>
      <c r="N50">
        <v>3.9610000000000001E-3</v>
      </c>
      <c r="O50">
        <v>34.908145378817999</v>
      </c>
      <c r="P50">
        <v>2.3219999999999998E-3</v>
      </c>
      <c r="Q50">
        <v>20</v>
      </c>
      <c r="R50" s="4" t="s">
        <v>672</v>
      </c>
      <c r="S50" t="s">
        <v>532</v>
      </c>
    </row>
    <row r="51" spans="1:19" ht="15" customHeight="1" x14ac:dyDescent="0.25">
      <c r="A51" t="s">
        <v>71</v>
      </c>
      <c r="B51" t="s">
        <v>105</v>
      </c>
      <c r="C51" t="s">
        <v>86</v>
      </c>
      <c r="D51" t="s">
        <v>54</v>
      </c>
      <c r="E51" t="s">
        <v>48</v>
      </c>
      <c r="F51" t="str">
        <f t="shared" si="5"/>
        <v>/code/TS1-S3</v>
      </c>
      <c r="G51" t="s">
        <v>1036</v>
      </c>
      <c r="H51">
        <v>3772.9287908319998</v>
      </c>
      <c r="I51" t="s">
        <v>305</v>
      </c>
      <c r="J51">
        <v>421.16928281399902</v>
      </c>
      <c r="K51">
        <v>1.0236E-2</v>
      </c>
      <c r="L51">
        <v>3.8E-3</v>
      </c>
      <c r="M51">
        <v>32.5</v>
      </c>
      <c r="N51">
        <v>4.1009999999999996E-3</v>
      </c>
      <c r="O51">
        <v>53.4156273666771</v>
      </c>
      <c r="P51">
        <v>2.3349999999999998E-3</v>
      </c>
      <c r="Q51">
        <v>20</v>
      </c>
      <c r="R51" s="4" t="s">
        <v>673</v>
      </c>
      <c r="S51" t="s">
        <v>533</v>
      </c>
    </row>
    <row r="52" spans="1:19" ht="15" customHeight="1" x14ac:dyDescent="0.25">
      <c r="A52" t="s">
        <v>71</v>
      </c>
      <c r="B52" t="s">
        <v>105</v>
      </c>
      <c r="C52" t="s">
        <v>89</v>
      </c>
      <c r="D52" t="s">
        <v>54</v>
      </c>
      <c r="E52" t="s">
        <v>23</v>
      </c>
      <c r="F52" t="str">
        <f t="shared" si="5"/>
        <v>/code/TS1-S3</v>
      </c>
      <c r="G52" t="s">
        <v>1036</v>
      </c>
      <c r="H52">
        <v>4098.8777732769904</v>
      </c>
      <c r="I52" t="s">
        <v>303</v>
      </c>
      <c r="J52">
        <v>433.56834990599901</v>
      </c>
      <c r="K52">
        <v>6.3229999999999996E-3</v>
      </c>
      <c r="L52">
        <v>3.9139999999999999E-3</v>
      </c>
      <c r="M52">
        <v>32.5</v>
      </c>
      <c r="N52" t="s">
        <v>25</v>
      </c>
      <c r="O52" t="s">
        <v>25</v>
      </c>
      <c r="P52">
        <v>2.4090000000000001E-3</v>
      </c>
      <c r="Q52">
        <v>20</v>
      </c>
      <c r="R52" s="4" t="s">
        <v>674</v>
      </c>
      <c r="S52" t="s">
        <v>534</v>
      </c>
    </row>
    <row r="53" spans="1:19" ht="15" customHeight="1" x14ac:dyDescent="0.25">
      <c r="A53" t="s">
        <v>71</v>
      </c>
      <c r="B53" t="s">
        <v>105</v>
      </c>
      <c r="C53" t="s">
        <v>89</v>
      </c>
      <c r="D53" t="s">
        <v>54</v>
      </c>
      <c r="E53" t="s">
        <v>23</v>
      </c>
      <c r="F53" t="str">
        <f t="shared" ref="F53" si="13">"/code/"&amp;"TS1-"&amp;D53</f>
        <v>/code/TS1-S3</v>
      </c>
      <c r="G53" t="s">
        <v>1036</v>
      </c>
      <c r="H53">
        <v>4098.8777732769904</v>
      </c>
      <c r="I53" t="s">
        <v>304</v>
      </c>
      <c r="J53">
        <v>425.66363062000102</v>
      </c>
      <c r="K53">
        <v>6.208E-3</v>
      </c>
      <c r="L53">
        <v>3.8430000000000001E-3</v>
      </c>
      <c r="M53">
        <v>32.5</v>
      </c>
      <c r="N53" t="s">
        <v>25</v>
      </c>
      <c r="O53" t="s">
        <v>25</v>
      </c>
      <c r="P53">
        <v>2.3649999999999999E-3</v>
      </c>
      <c r="Q53">
        <v>20</v>
      </c>
      <c r="R53" s="4" t="s">
        <v>781</v>
      </c>
      <c r="S53" t="s">
        <v>535</v>
      </c>
    </row>
    <row r="54" spans="1:19" ht="15" customHeight="1" x14ac:dyDescent="0.25">
      <c r="A54" t="s">
        <v>71</v>
      </c>
      <c r="B54" t="s">
        <v>105</v>
      </c>
      <c r="C54" t="s">
        <v>89</v>
      </c>
      <c r="D54" t="s">
        <v>54</v>
      </c>
      <c r="E54" t="s">
        <v>23</v>
      </c>
      <c r="F54" t="str">
        <f t="shared" si="5"/>
        <v>/code/TS1-S3</v>
      </c>
      <c r="G54" t="s">
        <v>1036</v>
      </c>
      <c r="H54">
        <v>4098.8777732769904</v>
      </c>
      <c r="I54" t="s">
        <v>305</v>
      </c>
      <c r="J54">
        <v>432.17680147500101</v>
      </c>
      <c r="K54">
        <v>6.3029999999999996E-3</v>
      </c>
      <c r="L54">
        <v>3.9020000000000001E-3</v>
      </c>
      <c r="M54">
        <v>32.5</v>
      </c>
      <c r="N54" t="s">
        <v>25</v>
      </c>
      <c r="O54" t="s">
        <v>25</v>
      </c>
      <c r="P54">
        <v>2.4009999999999999E-3</v>
      </c>
      <c r="Q54">
        <v>20</v>
      </c>
      <c r="R54" s="4" t="s">
        <v>675</v>
      </c>
      <c r="S54" t="s">
        <v>536</v>
      </c>
    </row>
    <row r="55" spans="1:19" ht="15" customHeight="1" x14ac:dyDescent="0.25">
      <c r="A55" t="s">
        <v>71</v>
      </c>
      <c r="B55" t="s">
        <v>105</v>
      </c>
      <c r="C55" t="s">
        <v>89</v>
      </c>
      <c r="D55" t="s">
        <v>54</v>
      </c>
      <c r="E55" t="s">
        <v>48</v>
      </c>
      <c r="F55" t="str">
        <f t="shared" si="5"/>
        <v>/code/TS1-S3</v>
      </c>
      <c r="G55" t="s">
        <v>1036</v>
      </c>
      <c r="H55">
        <v>2966.27750796399</v>
      </c>
      <c r="I55" t="s">
        <v>303</v>
      </c>
      <c r="J55">
        <v>335.66627249499999</v>
      </c>
      <c r="K55">
        <v>8.1060000000000004E-3</v>
      </c>
      <c r="L55">
        <v>3.0300000000000001E-3</v>
      </c>
      <c r="M55">
        <v>32.5</v>
      </c>
      <c r="N55">
        <v>3.2109999999999999E-3</v>
      </c>
      <c r="O55">
        <v>36.196719902915802</v>
      </c>
      <c r="P55">
        <v>1.8649999999999999E-3</v>
      </c>
      <c r="Q55">
        <v>20</v>
      </c>
      <c r="R55" s="4" t="s">
        <v>676</v>
      </c>
      <c r="S55" t="s">
        <v>537</v>
      </c>
    </row>
    <row r="56" spans="1:19" ht="15" customHeight="1" x14ac:dyDescent="0.25">
      <c r="A56" t="s">
        <v>71</v>
      </c>
      <c r="B56" t="s">
        <v>105</v>
      </c>
      <c r="C56" t="s">
        <v>89</v>
      </c>
      <c r="D56" t="s">
        <v>54</v>
      </c>
      <c r="E56" t="s">
        <v>48</v>
      </c>
      <c r="F56" t="str">
        <f t="shared" ref="F56" si="14">"/code/"&amp;"TS1-"&amp;D56</f>
        <v>/code/TS1-S3</v>
      </c>
      <c r="G56" t="s">
        <v>1036</v>
      </c>
      <c r="H56">
        <v>2966.27750796399</v>
      </c>
      <c r="I56" t="s">
        <v>304</v>
      </c>
      <c r="J56">
        <v>321.02053726600002</v>
      </c>
      <c r="K56">
        <v>7.8569999999999994E-3</v>
      </c>
      <c r="L56">
        <v>2.898E-3</v>
      </c>
      <c r="M56">
        <v>32.5</v>
      </c>
      <c r="N56">
        <v>3.1749999999999999E-3</v>
      </c>
      <c r="O56">
        <v>37.839968041094501</v>
      </c>
      <c r="P56">
        <v>1.7830000000000001E-3</v>
      </c>
      <c r="Q56">
        <v>20</v>
      </c>
      <c r="R56" s="4" t="s">
        <v>677</v>
      </c>
      <c r="S56" t="s">
        <v>538</v>
      </c>
    </row>
    <row r="57" spans="1:19" ht="15" customHeight="1" x14ac:dyDescent="0.25">
      <c r="A57" t="s">
        <v>71</v>
      </c>
      <c r="B57" t="s">
        <v>105</v>
      </c>
      <c r="C57" t="s">
        <v>89</v>
      </c>
      <c r="D57" t="s">
        <v>54</v>
      </c>
      <c r="E57" t="s">
        <v>48</v>
      </c>
      <c r="F57" t="str">
        <f t="shared" si="5"/>
        <v>/code/TS1-S3</v>
      </c>
      <c r="G57" t="s">
        <v>1036</v>
      </c>
      <c r="H57">
        <v>2966.27750796399</v>
      </c>
      <c r="I57" t="s">
        <v>305</v>
      </c>
      <c r="J57">
        <v>322.626577596</v>
      </c>
      <c r="K57">
        <v>7.7299999999999999E-3</v>
      </c>
      <c r="L57">
        <v>2.9129999999999998E-3</v>
      </c>
      <c r="M57">
        <v>32.5</v>
      </c>
      <c r="N57">
        <v>3.0249999999999999E-3</v>
      </c>
      <c r="O57">
        <v>37.368460678797398</v>
      </c>
      <c r="P57">
        <v>1.792E-3</v>
      </c>
      <c r="Q57">
        <v>20</v>
      </c>
      <c r="R57" s="4" t="s">
        <v>678</v>
      </c>
      <c r="S57" t="s">
        <v>539</v>
      </c>
    </row>
    <row r="60" spans="1:19" ht="15" customHeight="1" x14ac:dyDescent="0.25">
      <c r="A60" t="s">
        <v>126</v>
      </c>
      <c r="B60" t="s">
        <v>149</v>
      </c>
      <c r="C60" t="s">
        <v>73</v>
      </c>
      <c r="D60" t="s">
        <v>54</v>
      </c>
      <c r="E60" t="s">
        <v>23</v>
      </c>
      <c r="F60" t="str">
        <f t="shared" ref="F60" si="15">"/code/TS2-"&amp;D60&amp;"/lex"</f>
        <v>/code/TS2-S3/lex</v>
      </c>
      <c r="G60" t="s">
        <v>1037</v>
      </c>
      <c r="H60">
        <v>63.4280409269995</v>
      </c>
      <c r="I60" t="s">
        <v>303</v>
      </c>
      <c r="J60">
        <v>7.5727061200000199</v>
      </c>
      <c r="K60">
        <v>8.6000000000000003E-5</v>
      </c>
      <c r="L60">
        <v>5.3000000000000001E-5</v>
      </c>
      <c r="M60">
        <v>32.5</v>
      </c>
      <c r="N60" t="s">
        <v>25</v>
      </c>
      <c r="O60" t="s">
        <v>25</v>
      </c>
      <c r="P60">
        <v>3.3000000000000003E-5</v>
      </c>
      <c r="Q60">
        <v>20</v>
      </c>
      <c r="R60" s="4" t="s">
        <v>679</v>
      </c>
      <c r="S60" t="s">
        <v>540</v>
      </c>
    </row>
    <row r="61" spans="1:19" ht="15" customHeight="1" x14ac:dyDescent="0.25">
      <c r="A61" t="s">
        <v>126</v>
      </c>
      <c r="B61" t="s">
        <v>149</v>
      </c>
      <c r="C61" t="s">
        <v>73</v>
      </c>
      <c r="D61" t="s">
        <v>54</v>
      </c>
      <c r="E61" t="s">
        <v>23</v>
      </c>
      <c r="F61" t="str">
        <f t="shared" ref="F61" si="16">"/code/TS2-"&amp;D61&amp;"/lex"</f>
        <v>/code/TS2-S3/lex</v>
      </c>
      <c r="G61" t="s">
        <v>1037</v>
      </c>
      <c r="H61">
        <v>63.4280409269995</v>
      </c>
      <c r="I61" t="s">
        <v>304</v>
      </c>
      <c r="J61">
        <v>7.4775032149999996</v>
      </c>
      <c r="K61">
        <v>8.3999999999999995E-5</v>
      </c>
      <c r="L61">
        <v>5.1999999999999997E-5</v>
      </c>
      <c r="M61">
        <v>32.5</v>
      </c>
      <c r="N61" t="s">
        <v>25</v>
      </c>
      <c r="O61" t="s">
        <v>25</v>
      </c>
      <c r="P61">
        <v>3.1999999999999999E-5</v>
      </c>
      <c r="Q61">
        <v>20</v>
      </c>
      <c r="R61" s="4" t="s">
        <v>680</v>
      </c>
      <c r="S61" t="s">
        <v>541</v>
      </c>
    </row>
    <row r="62" spans="1:19" ht="15" customHeight="1" x14ac:dyDescent="0.25">
      <c r="A62" t="s">
        <v>126</v>
      </c>
      <c r="B62" t="s">
        <v>149</v>
      </c>
      <c r="C62" t="s">
        <v>73</v>
      </c>
      <c r="D62" t="s">
        <v>54</v>
      </c>
      <c r="E62" t="s">
        <v>23</v>
      </c>
      <c r="F62" t="str">
        <f t="shared" ref="F62" si="17">"/code/TS2-"&amp;D62&amp;"/lex"</f>
        <v>/code/TS2-S3/lex</v>
      </c>
      <c r="G62" t="s">
        <v>1037</v>
      </c>
      <c r="H62">
        <v>63.4280409269995</v>
      </c>
      <c r="I62" t="s">
        <v>305</v>
      </c>
      <c r="J62">
        <v>7.3866456480000098</v>
      </c>
      <c r="K62">
        <v>8.2999999999999998E-5</v>
      </c>
      <c r="L62">
        <v>5.1E-5</v>
      </c>
      <c r="M62">
        <v>32.5</v>
      </c>
      <c r="N62" t="s">
        <v>25</v>
      </c>
      <c r="O62" t="s">
        <v>25</v>
      </c>
      <c r="P62">
        <v>3.1999999999999999E-5</v>
      </c>
      <c r="Q62">
        <v>20</v>
      </c>
      <c r="R62" s="4" t="s">
        <v>681</v>
      </c>
      <c r="S62" t="s">
        <v>542</v>
      </c>
    </row>
    <row r="63" spans="1:19" ht="15" customHeight="1" x14ac:dyDescent="0.25">
      <c r="A63" t="s">
        <v>126</v>
      </c>
      <c r="B63" t="s">
        <v>149</v>
      </c>
      <c r="C63" t="s">
        <v>131</v>
      </c>
      <c r="D63" t="s">
        <v>54</v>
      </c>
      <c r="E63" t="s">
        <v>23</v>
      </c>
      <c r="F63" t="str">
        <f t="shared" ref="F63:F68" si="18">"/code/TS2-"&amp;D63&amp;"/bert2bert"</f>
        <v>/code/TS2-S3/bert2bert</v>
      </c>
      <c r="G63" t="s">
        <v>1037</v>
      </c>
      <c r="H63">
        <v>1480.9923544119999</v>
      </c>
      <c r="I63" t="s">
        <v>303</v>
      </c>
      <c r="J63">
        <v>152.12803199699999</v>
      </c>
      <c r="K63">
        <v>2.1930000000000001E-3</v>
      </c>
      <c r="L63">
        <v>1.358E-3</v>
      </c>
      <c r="M63">
        <v>32.5</v>
      </c>
      <c r="N63" t="s">
        <v>25</v>
      </c>
      <c r="O63" t="s">
        <v>25</v>
      </c>
      <c r="P63">
        <v>8.3600000000000005E-4</v>
      </c>
      <c r="Q63">
        <v>20</v>
      </c>
      <c r="R63" s="4" t="s">
        <v>682</v>
      </c>
      <c r="S63" t="s">
        <v>543</v>
      </c>
    </row>
    <row r="64" spans="1:19" ht="15" customHeight="1" x14ac:dyDescent="0.25">
      <c r="A64" t="s">
        <v>126</v>
      </c>
      <c r="B64" t="s">
        <v>149</v>
      </c>
      <c r="C64" t="s">
        <v>131</v>
      </c>
      <c r="D64" t="s">
        <v>54</v>
      </c>
      <c r="E64" t="s">
        <v>23</v>
      </c>
      <c r="F64" t="str">
        <f t="shared" si="18"/>
        <v>/code/TS2-S3/bert2bert</v>
      </c>
      <c r="G64" t="s">
        <v>1037</v>
      </c>
      <c r="H64">
        <v>1480.9923544119999</v>
      </c>
      <c r="I64" t="s">
        <v>304</v>
      </c>
      <c r="J64">
        <v>152.81952375999899</v>
      </c>
      <c r="K64">
        <v>2.2039999999999998E-3</v>
      </c>
      <c r="L64">
        <v>1.364E-3</v>
      </c>
      <c r="M64">
        <v>32.5</v>
      </c>
      <c r="N64" t="s">
        <v>25</v>
      </c>
      <c r="O64" t="s">
        <v>25</v>
      </c>
      <c r="P64">
        <v>8.3900000000000001E-4</v>
      </c>
      <c r="Q64">
        <v>20</v>
      </c>
      <c r="R64" s="4" t="s">
        <v>683</v>
      </c>
      <c r="S64" t="s">
        <v>544</v>
      </c>
    </row>
    <row r="65" spans="1:19" ht="15" customHeight="1" x14ac:dyDescent="0.25">
      <c r="A65" t="s">
        <v>126</v>
      </c>
      <c r="B65" t="s">
        <v>149</v>
      </c>
      <c r="C65" t="s">
        <v>131</v>
      </c>
      <c r="D65" t="s">
        <v>54</v>
      </c>
      <c r="E65" t="s">
        <v>23</v>
      </c>
      <c r="F65" t="str">
        <f t="shared" si="18"/>
        <v>/code/TS2-S3/bert2bert</v>
      </c>
      <c r="G65" t="s">
        <v>1037</v>
      </c>
      <c r="H65">
        <v>1480.9923544119999</v>
      </c>
      <c r="I65" t="s">
        <v>305</v>
      </c>
      <c r="J65">
        <v>151.43776201799901</v>
      </c>
      <c r="K65">
        <v>2.1840000000000002E-3</v>
      </c>
      <c r="L65">
        <v>1.3519999999999999E-3</v>
      </c>
      <c r="M65">
        <v>32.5</v>
      </c>
      <c r="N65" t="s">
        <v>25</v>
      </c>
      <c r="O65" t="s">
        <v>25</v>
      </c>
      <c r="P65">
        <v>8.3199999999999995E-4</v>
      </c>
      <c r="Q65">
        <v>20</v>
      </c>
      <c r="R65" s="4" t="s">
        <v>684</v>
      </c>
      <c r="S65" t="s">
        <v>545</v>
      </c>
    </row>
    <row r="66" spans="1:19" ht="15" customHeight="1" x14ac:dyDescent="0.25">
      <c r="A66" t="s">
        <v>126</v>
      </c>
      <c r="B66" t="s">
        <v>149</v>
      </c>
      <c r="C66" t="s">
        <v>131</v>
      </c>
      <c r="D66" t="s">
        <v>54</v>
      </c>
      <c r="E66" t="s">
        <v>48</v>
      </c>
      <c r="F66" t="str">
        <f t="shared" si="18"/>
        <v>/code/TS2-S3/bert2bert</v>
      </c>
      <c r="G66" t="s">
        <v>1037</v>
      </c>
      <c r="H66">
        <v>387.47260097399999</v>
      </c>
      <c r="I66" t="s">
        <v>303</v>
      </c>
      <c r="J66">
        <v>52.6326451529998</v>
      </c>
      <c r="K66">
        <v>1.707E-3</v>
      </c>
      <c r="L66">
        <v>4.6000000000000001E-4</v>
      </c>
      <c r="M66">
        <v>32.5</v>
      </c>
      <c r="N66">
        <v>9.6500000000000004E-4</v>
      </c>
      <c r="O66">
        <v>71.365496821997198</v>
      </c>
      <c r="P66">
        <v>2.8299999999999999E-4</v>
      </c>
      <c r="Q66">
        <v>20</v>
      </c>
      <c r="R66" s="4" t="s">
        <v>685</v>
      </c>
      <c r="S66" t="s">
        <v>546</v>
      </c>
    </row>
    <row r="67" spans="1:19" ht="15" customHeight="1" x14ac:dyDescent="0.25">
      <c r="A67" t="s">
        <v>126</v>
      </c>
      <c r="B67" t="s">
        <v>149</v>
      </c>
      <c r="C67" t="s">
        <v>131</v>
      </c>
      <c r="D67" t="s">
        <v>54</v>
      </c>
      <c r="E67" t="s">
        <v>48</v>
      </c>
      <c r="F67" t="str">
        <f t="shared" si="18"/>
        <v>/code/TS2-S3/bert2bert</v>
      </c>
      <c r="G67" t="s">
        <v>1037</v>
      </c>
      <c r="H67">
        <v>387.47260097399999</v>
      </c>
      <c r="I67" t="s">
        <v>304</v>
      </c>
      <c r="J67">
        <v>60.627008231999703</v>
      </c>
      <c r="K67">
        <v>1.944E-3</v>
      </c>
      <c r="L67">
        <v>5.3200000000000003E-4</v>
      </c>
      <c r="M67">
        <v>32.5</v>
      </c>
      <c r="N67">
        <v>1.085E-3</v>
      </c>
      <c r="O67">
        <v>68.565229612128505</v>
      </c>
      <c r="P67">
        <v>3.2699999999999998E-4</v>
      </c>
      <c r="Q67">
        <v>20</v>
      </c>
      <c r="R67" s="4" t="s">
        <v>686</v>
      </c>
      <c r="S67" t="s">
        <v>547</v>
      </c>
    </row>
    <row r="68" spans="1:19" ht="15" customHeight="1" x14ac:dyDescent="0.25">
      <c r="A68" t="s">
        <v>126</v>
      </c>
      <c r="B68" t="s">
        <v>149</v>
      </c>
      <c r="C68" t="s">
        <v>131</v>
      </c>
      <c r="D68" t="s">
        <v>54</v>
      </c>
      <c r="E68" t="s">
        <v>48</v>
      </c>
      <c r="F68" t="str">
        <f t="shared" si="18"/>
        <v>/code/TS2-S3/bert2bert</v>
      </c>
      <c r="G68" t="s">
        <v>1037</v>
      </c>
      <c r="H68">
        <v>387.47260097399999</v>
      </c>
      <c r="I68" t="s">
        <v>305</v>
      </c>
      <c r="J68">
        <v>51.939772679999997</v>
      </c>
      <c r="K68">
        <v>1.7290000000000001E-3</v>
      </c>
      <c r="L68">
        <v>4.5399999999999998E-4</v>
      </c>
      <c r="M68">
        <v>32.5</v>
      </c>
      <c r="N68">
        <v>9.9599999999999992E-4</v>
      </c>
      <c r="O68">
        <v>77.1667076860235</v>
      </c>
      <c r="P68">
        <v>2.7900000000000001E-4</v>
      </c>
      <c r="Q68">
        <v>20</v>
      </c>
      <c r="R68" s="4" t="s">
        <v>687</v>
      </c>
      <c r="S68" t="s">
        <v>548</v>
      </c>
    </row>
    <row r="69" spans="1:19" ht="15" customHeight="1" x14ac:dyDescent="0.25">
      <c r="A69" t="s">
        <v>126</v>
      </c>
      <c r="B69" t="s">
        <v>149</v>
      </c>
      <c r="C69" t="s">
        <v>134</v>
      </c>
      <c r="D69" t="s">
        <v>54</v>
      </c>
      <c r="E69" t="s">
        <v>23</v>
      </c>
      <c r="F69" t="str">
        <f t="shared" ref="F69:F74" si="19">"/code/TS2-"&amp;D69&amp;"/mlong"</f>
        <v>/code/TS2-S3/mlong</v>
      </c>
      <c r="G69" t="s">
        <v>1037</v>
      </c>
      <c r="H69">
        <v>18414.631976744</v>
      </c>
      <c r="I69" t="s">
        <v>303</v>
      </c>
      <c r="J69">
        <v>1679.6698496659999</v>
      </c>
      <c r="K69">
        <v>2.4472000000000001E-2</v>
      </c>
      <c r="L69">
        <v>1.515E-2</v>
      </c>
      <c r="M69">
        <v>32.5</v>
      </c>
      <c r="N69" t="s">
        <v>25</v>
      </c>
      <c r="O69" t="s">
        <v>25</v>
      </c>
      <c r="P69">
        <v>9.3229999999999997E-3</v>
      </c>
      <c r="Q69">
        <v>20</v>
      </c>
      <c r="R69" s="4" t="s">
        <v>782</v>
      </c>
      <c r="S69" t="s">
        <v>549</v>
      </c>
    </row>
    <row r="70" spans="1:19" ht="15" customHeight="1" x14ac:dyDescent="0.25">
      <c r="A70" t="s">
        <v>126</v>
      </c>
      <c r="B70" t="s">
        <v>149</v>
      </c>
      <c r="C70" t="s">
        <v>134</v>
      </c>
      <c r="D70" t="s">
        <v>54</v>
      </c>
      <c r="E70" t="s">
        <v>23</v>
      </c>
      <c r="F70" t="str">
        <f t="shared" si="19"/>
        <v>/code/TS2-S3/mlong</v>
      </c>
      <c r="G70" t="s">
        <v>1037</v>
      </c>
      <c r="H70">
        <v>18414.631976744</v>
      </c>
      <c r="I70" t="s">
        <v>304</v>
      </c>
      <c r="J70">
        <v>1688.5496938900001</v>
      </c>
      <c r="K70">
        <v>2.4601999999999999E-2</v>
      </c>
      <c r="L70">
        <v>1.523E-2</v>
      </c>
      <c r="M70">
        <v>32.5</v>
      </c>
      <c r="N70" t="s">
        <v>25</v>
      </c>
      <c r="O70" t="s">
        <v>25</v>
      </c>
      <c r="P70">
        <v>9.3720000000000001E-3</v>
      </c>
      <c r="Q70">
        <v>20</v>
      </c>
      <c r="R70" s="4" t="s">
        <v>688</v>
      </c>
      <c r="S70" t="s">
        <v>550</v>
      </c>
    </row>
    <row r="71" spans="1:19" ht="15" customHeight="1" x14ac:dyDescent="0.25">
      <c r="A71" t="s">
        <v>126</v>
      </c>
      <c r="B71" t="s">
        <v>149</v>
      </c>
      <c r="C71" t="s">
        <v>134</v>
      </c>
      <c r="D71" t="s">
        <v>54</v>
      </c>
      <c r="E71" t="s">
        <v>23</v>
      </c>
      <c r="F71" t="str">
        <f t="shared" si="19"/>
        <v>/code/TS2-S3/mlong</v>
      </c>
      <c r="G71" t="s">
        <v>1037</v>
      </c>
      <c r="H71">
        <v>18414.631976744</v>
      </c>
      <c r="I71" t="s">
        <v>305</v>
      </c>
      <c r="J71">
        <v>1717.065457035</v>
      </c>
      <c r="K71">
        <v>2.5017999999999999E-2</v>
      </c>
      <c r="L71">
        <v>1.5487000000000001E-2</v>
      </c>
      <c r="M71">
        <v>32.5</v>
      </c>
      <c r="N71" t="s">
        <v>25</v>
      </c>
      <c r="O71" t="s">
        <v>25</v>
      </c>
      <c r="P71">
        <v>9.5300000000000003E-3</v>
      </c>
      <c r="Q71">
        <v>20</v>
      </c>
      <c r="R71" s="4" t="s">
        <v>689</v>
      </c>
      <c r="S71" t="s">
        <v>551</v>
      </c>
    </row>
    <row r="72" spans="1:19" ht="15" customHeight="1" x14ac:dyDescent="0.25">
      <c r="A72" t="s">
        <v>126</v>
      </c>
      <c r="B72" t="s">
        <v>149</v>
      </c>
      <c r="C72" t="s">
        <v>134</v>
      </c>
      <c r="D72" t="s">
        <v>54</v>
      </c>
      <c r="E72" t="s">
        <v>48</v>
      </c>
      <c r="F72" t="str">
        <f t="shared" si="19"/>
        <v>/code/TS2-S3/mlong</v>
      </c>
      <c r="G72" t="s">
        <v>1037</v>
      </c>
      <c r="H72">
        <v>2209.0436586239898</v>
      </c>
      <c r="I72" t="s">
        <v>303</v>
      </c>
      <c r="J72">
        <v>207.27799610700001</v>
      </c>
      <c r="K72">
        <v>9.4730000000000005E-3</v>
      </c>
      <c r="L72">
        <v>1.856E-3</v>
      </c>
      <c r="M72">
        <v>32.5</v>
      </c>
      <c r="N72">
        <v>6.476E-3</v>
      </c>
      <c r="O72">
        <v>135.431333502326</v>
      </c>
      <c r="P72">
        <v>1.142E-3</v>
      </c>
      <c r="Q72">
        <v>20</v>
      </c>
      <c r="R72" s="4" t="s">
        <v>690</v>
      </c>
      <c r="S72" t="s">
        <v>552</v>
      </c>
    </row>
    <row r="73" spans="1:19" ht="15" customHeight="1" x14ac:dyDescent="0.25">
      <c r="A73" t="s">
        <v>126</v>
      </c>
      <c r="B73" t="s">
        <v>149</v>
      </c>
      <c r="C73" t="s">
        <v>134</v>
      </c>
      <c r="D73" t="s">
        <v>54</v>
      </c>
      <c r="E73" t="s">
        <v>48</v>
      </c>
      <c r="F73" t="str">
        <f t="shared" si="19"/>
        <v>/code/TS2-S3/mlong</v>
      </c>
      <c r="G73" t="s">
        <v>1037</v>
      </c>
      <c r="H73">
        <v>2209.0436586239898</v>
      </c>
      <c r="I73" t="s">
        <v>304</v>
      </c>
      <c r="J73">
        <v>201.49484129699999</v>
      </c>
      <c r="K73">
        <v>9.2329999999999999E-3</v>
      </c>
      <c r="L73">
        <v>1.805E-3</v>
      </c>
      <c r="M73">
        <v>32.5</v>
      </c>
      <c r="N73">
        <v>6.3179999999999998E-3</v>
      </c>
      <c r="O73">
        <v>135.81664830932701</v>
      </c>
      <c r="P73">
        <v>1.111E-3</v>
      </c>
      <c r="Q73">
        <v>20</v>
      </c>
      <c r="R73" s="4" t="s">
        <v>691</v>
      </c>
      <c r="S73" t="s">
        <v>553</v>
      </c>
    </row>
    <row r="74" spans="1:19" ht="15" customHeight="1" x14ac:dyDescent="0.25">
      <c r="A74" t="s">
        <v>126</v>
      </c>
      <c r="B74" t="s">
        <v>149</v>
      </c>
      <c r="C74" t="s">
        <v>134</v>
      </c>
      <c r="D74" t="s">
        <v>54</v>
      </c>
      <c r="E74" t="s">
        <v>48</v>
      </c>
      <c r="F74" t="str">
        <f t="shared" si="19"/>
        <v>/code/TS2-S3/mlong</v>
      </c>
      <c r="G74" t="s">
        <v>1037</v>
      </c>
      <c r="H74">
        <v>2209.0436586239898</v>
      </c>
      <c r="I74" t="s">
        <v>305</v>
      </c>
      <c r="J74">
        <v>186.66586361899999</v>
      </c>
      <c r="K74">
        <v>8.8979999999999997E-3</v>
      </c>
      <c r="L74">
        <v>1.671E-3</v>
      </c>
      <c r="M74">
        <v>32.5</v>
      </c>
      <c r="N74">
        <v>6.1980000000000004E-3</v>
      </c>
      <c r="O74">
        <v>130.383228944439</v>
      </c>
      <c r="P74">
        <v>1.0280000000000001E-3</v>
      </c>
      <c r="Q74">
        <v>20</v>
      </c>
      <c r="R74" s="4" t="s">
        <v>692</v>
      </c>
      <c r="S74" t="s">
        <v>554</v>
      </c>
    </row>
    <row r="75" spans="1:19" ht="15" customHeight="1" x14ac:dyDescent="0.25">
      <c r="A75" t="s">
        <v>126</v>
      </c>
      <c r="B75" t="s">
        <v>149</v>
      </c>
      <c r="C75" t="s">
        <v>137</v>
      </c>
      <c r="D75" t="s">
        <v>54</v>
      </c>
      <c r="E75" t="s">
        <v>23</v>
      </c>
      <c r="F75" t="str">
        <f t="shared" ref="F75:F80" si="20">"/code/TS2-"&amp;D75&amp;"/mixtral"</f>
        <v>/code/TS2-S3/mixtral</v>
      </c>
      <c r="G75" t="s">
        <v>1037</v>
      </c>
      <c r="H75">
        <v>42375.671860100003</v>
      </c>
      <c r="I75" t="s">
        <v>303</v>
      </c>
      <c r="J75">
        <v>3751.7015194999999</v>
      </c>
      <c r="K75">
        <v>0.56764899999999996</v>
      </c>
      <c r="L75">
        <v>0.54115199999999997</v>
      </c>
      <c r="M75">
        <v>520</v>
      </c>
      <c r="N75" t="s">
        <v>25</v>
      </c>
      <c r="O75" t="s">
        <v>25</v>
      </c>
      <c r="P75">
        <v>2.0813000000000002E-2</v>
      </c>
      <c r="Q75">
        <v>20</v>
      </c>
      <c r="R75" s="4" t="s">
        <v>783</v>
      </c>
      <c r="S75" t="s">
        <v>555</v>
      </c>
    </row>
    <row r="76" spans="1:19" ht="15" customHeight="1" x14ac:dyDescent="0.25">
      <c r="A76" t="s">
        <v>126</v>
      </c>
      <c r="B76" t="s">
        <v>149</v>
      </c>
      <c r="C76" t="s">
        <v>137</v>
      </c>
      <c r="D76" t="s">
        <v>54</v>
      </c>
      <c r="E76" t="s">
        <v>23</v>
      </c>
      <c r="F76" t="str">
        <f t="shared" si="20"/>
        <v>/code/TS2-S3/mixtral</v>
      </c>
      <c r="G76" t="s">
        <v>1037</v>
      </c>
      <c r="H76">
        <v>42375.671860100003</v>
      </c>
      <c r="I76" t="s">
        <v>304</v>
      </c>
      <c r="J76">
        <v>3644.2388691999899</v>
      </c>
      <c r="K76">
        <v>0.55121699999999996</v>
      </c>
      <c r="L76">
        <v>0.52563499999999996</v>
      </c>
      <c r="M76">
        <v>520</v>
      </c>
      <c r="N76" t="s">
        <v>25</v>
      </c>
      <c r="O76" t="s">
        <v>25</v>
      </c>
      <c r="P76">
        <v>2.0216000000000001E-2</v>
      </c>
      <c r="Q76">
        <v>20</v>
      </c>
      <c r="R76" s="4" t="s">
        <v>784</v>
      </c>
      <c r="S76" t="s">
        <v>556</v>
      </c>
    </row>
    <row r="77" spans="1:19" ht="15" customHeight="1" x14ac:dyDescent="0.25">
      <c r="A77" t="s">
        <v>126</v>
      </c>
      <c r="B77" t="s">
        <v>149</v>
      </c>
      <c r="C77" t="s">
        <v>137</v>
      </c>
      <c r="D77" t="s">
        <v>54</v>
      </c>
      <c r="E77" t="s">
        <v>23</v>
      </c>
      <c r="F77" t="str">
        <f t="shared" si="20"/>
        <v>/code/TS2-S3/mixtral</v>
      </c>
      <c r="G77" t="s">
        <v>1037</v>
      </c>
      <c r="H77">
        <v>42375.671860100003</v>
      </c>
      <c r="I77" t="s">
        <v>305</v>
      </c>
      <c r="J77">
        <v>3715.9172388000002</v>
      </c>
      <c r="K77">
        <v>0.56282200000000004</v>
      </c>
      <c r="L77">
        <v>0.53600700000000001</v>
      </c>
      <c r="M77">
        <v>520</v>
      </c>
      <c r="N77" t="s">
        <v>25</v>
      </c>
      <c r="O77" t="s">
        <v>25</v>
      </c>
      <c r="P77">
        <v>2.0615000000000001E-2</v>
      </c>
      <c r="Q77">
        <v>20</v>
      </c>
      <c r="R77" s="4" t="s">
        <v>785</v>
      </c>
      <c r="S77" t="s">
        <v>557</v>
      </c>
    </row>
    <row r="78" spans="1:19" ht="15" customHeight="1" x14ac:dyDescent="0.25">
      <c r="A78" t="s">
        <v>126</v>
      </c>
      <c r="B78" t="s">
        <v>149</v>
      </c>
      <c r="C78" t="s">
        <v>137</v>
      </c>
      <c r="D78" t="s">
        <v>54</v>
      </c>
      <c r="E78" t="s">
        <v>48</v>
      </c>
      <c r="F78" t="str">
        <f t="shared" si="20"/>
        <v>/code/TS2-S3/mixtral</v>
      </c>
      <c r="G78" t="s">
        <v>1037</v>
      </c>
      <c r="H78" s="5">
        <v>11735.2418805999</v>
      </c>
      <c r="I78" t="s">
        <v>303</v>
      </c>
      <c r="J78">
        <v>1069.3397629000001</v>
      </c>
      <c r="K78">
        <v>0.17521100000000001</v>
      </c>
      <c r="L78">
        <v>0.15376600000000001</v>
      </c>
      <c r="M78">
        <v>520</v>
      </c>
      <c r="N78">
        <v>1.5531E-2</v>
      </c>
      <c r="O78">
        <v>48.685082220148203</v>
      </c>
      <c r="P78">
        <v>5.914E-3</v>
      </c>
      <c r="Q78">
        <v>20</v>
      </c>
      <c r="R78" s="7" t="s">
        <v>693</v>
      </c>
      <c r="S78" s="8" t="s">
        <v>558</v>
      </c>
    </row>
    <row r="79" spans="1:19" ht="15" customHeight="1" x14ac:dyDescent="0.25">
      <c r="A79" t="s">
        <v>126</v>
      </c>
      <c r="B79" t="s">
        <v>149</v>
      </c>
      <c r="C79" t="s">
        <v>137</v>
      </c>
      <c r="D79" t="s">
        <v>54</v>
      </c>
      <c r="E79" t="s">
        <v>48</v>
      </c>
      <c r="F79" t="str">
        <f t="shared" si="20"/>
        <v>/code/TS2-S3/mixtral</v>
      </c>
      <c r="G79" t="s">
        <v>1037</v>
      </c>
      <c r="H79" s="5">
        <v>11735.2418805999</v>
      </c>
      <c r="I79" t="s">
        <v>304</v>
      </c>
      <c r="J79">
        <v>1105.6001656000001</v>
      </c>
      <c r="K79">
        <v>0.18109</v>
      </c>
      <c r="L79">
        <v>0.158995</v>
      </c>
      <c r="M79">
        <v>520</v>
      </c>
      <c r="N79">
        <v>1.5980000000000001E-2</v>
      </c>
      <c r="O79">
        <v>46.132610827636398</v>
      </c>
      <c r="P79">
        <v>6.1149999999999998E-3</v>
      </c>
      <c r="Q79">
        <v>20</v>
      </c>
      <c r="R79" s="7" t="s">
        <v>694</v>
      </c>
      <c r="S79" s="8" t="s">
        <v>559</v>
      </c>
    </row>
    <row r="80" spans="1:19" ht="15" customHeight="1" x14ac:dyDescent="0.25">
      <c r="A80" t="s">
        <v>126</v>
      </c>
      <c r="B80" t="s">
        <v>149</v>
      </c>
      <c r="C80" t="s">
        <v>137</v>
      </c>
      <c r="D80" t="s">
        <v>54</v>
      </c>
      <c r="E80" t="s">
        <v>48</v>
      </c>
      <c r="F80" t="str">
        <f t="shared" si="20"/>
        <v>/code/TS2-S3/mixtral</v>
      </c>
      <c r="G80" t="s">
        <v>1037</v>
      </c>
      <c r="H80" s="5">
        <v>11735.2418805999</v>
      </c>
      <c r="I80" t="s">
        <v>305</v>
      </c>
      <c r="J80">
        <v>1125.220652</v>
      </c>
      <c r="K80">
        <v>0.18424199999999999</v>
      </c>
      <c r="L80">
        <v>0.16182199999999999</v>
      </c>
      <c r="M80">
        <v>520</v>
      </c>
      <c r="N80">
        <v>1.6197E-2</v>
      </c>
      <c r="O80">
        <v>49.847781054864299</v>
      </c>
      <c r="P80">
        <v>6.2240000000000004E-3</v>
      </c>
      <c r="Q80">
        <v>20</v>
      </c>
      <c r="R80" s="7" t="s">
        <v>695</v>
      </c>
      <c r="S80" s="8" t="s">
        <v>560</v>
      </c>
    </row>
    <row r="83" spans="1:19" ht="15" customHeight="1" x14ac:dyDescent="0.25">
      <c r="A83" t="s">
        <v>164</v>
      </c>
      <c r="B83" t="s">
        <v>251</v>
      </c>
      <c r="C83" t="s">
        <v>73</v>
      </c>
      <c r="D83" t="s">
        <v>54</v>
      </c>
      <c r="E83" t="s">
        <v>23</v>
      </c>
      <c r="F83" t="str">
        <f>"/code/TS3-"&amp;D83&amp;"/lexrank"</f>
        <v>/code/TS3-S3/lexrank</v>
      </c>
      <c r="G83" t="s">
        <v>166</v>
      </c>
      <c r="H83">
        <v>1.66323075900027</v>
      </c>
      <c r="I83" t="s">
        <v>303</v>
      </c>
      <c r="J83">
        <v>1.64611929700004</v>
      </c>
      <c r="K83">
        <v>3.0000000000000001E-6</v>
      </c>
      <c r="L83">
        <v>1.9999999999999999E-6</v>
      </c>
      <c r="M83">
        <v>32.5</v>
      </c>
      <c r="N83" t="s">
        <v>25</v>
      </c>
      <c r="O83" t="s">
        <v>25</v>
      </c>
      <c r="P83">
        <v>9.9999999999999995E-7</v>
      </c>
      <c r="Q83">
        <v>20</v>
      </c>
      <c r="R83" s="4" t="s">
        <v>696</v>
      </c>
      <c r="S83" t="s">
        <v>561</v>
      </c>
    </row>
    <row r="84" spans="1:19" ht="15" customHeight="1" x14ac:dyDescent="0.25">
      <c r="A84" t="s">
        <v>164</v>
      </c>
      <c r="B84" t="s">
        <v>251</v>
      </c>
      <c r="C84" t="s">
        <v>73</v>
      </c>
      <c r="D84" t="s">
        <v>54</v>
      </c>
      <c r="E84" t="s">
        <v>23</v>
      </c>
      <c r="F84" t="str">
        <f>"/code/TS3-"&amp;D84&amp;"/lexrank"</f>
        <v>/code/TS3-S3/lexrank</v>
      </c>
      <c r="G84" t="s">
        <v>166</v>
      </c>
      <c r="H84">
        <v>1.66323075900027</v>
      </c>
      <c r="I84" t="s">
        <v>304</v>
      </c>
      <c r="J84">
        <v>1.6690031729995001</v>
      </c>
      <c r="K84" s="5">
        <v>3.0000000000000001E-6</v>
      </c>
      <c r="L84" s="5">
        <v>1.9999999999999999E-6</v>
      </c>
      <c r="M84">
        <v>32.5</v>
      </c>
      <c r="N84" t="s">
        <v>25</v>
      </c>
      <c r="O84" t="s">
        <v>25</v>
      </c>
      <c r="P84" s="5">
        <v>9.9999999999999995E-7</v>
      </c>
      <c r="Q84">
        <v>20</v>
      </c>
      <c r="R84" s="4" t="s">
        <v>697</v>
      </c>
      <c r="S84" t="s">
        <v>562</v>
      </c>
    </row>
    <row r="85" spans="1:19" ht="15" customHeight="1" x14ac:dyDescent="0.25">
      <c r="A85" t="s">
        <v>164</v>
      </c>
      <c r="B85" t="s">
        <v>251</v>
      </c>
      <c r="C85" t="s">
        <v>73</v>
      </c>
      <c r="D85" t="s">
        <v>54</v>
      </c>
      <c r="E85" t="s">
        <v>23</v>
      </c>
      <c r="F85" t="str">
        <f>"/code/TS3-"&amp;D85&amp;"/lexrank"</f>
        <v>/code/TS3-S3/lexrank</v>
      </c>
      <c r="G85" t="s">
        <v>166</v>
      </c>
      <c r="H85">
        <v>1.66323075900027</v>
      </c>
      <c r="I85" t="s">
        <v>305</v>
      </c>
      <c r="J85">
        <v>1.6289669020006801</v>
      </c>
      <c r="K85" s="5">
        <v>3.0000000000000001E-6</v>
      </c>
      <c r="L85" s="5">
        <v>1.9999999999999999E-6</v>
      </c>
      <c r="M85">
        <v>32.5</v>
      </c>
      <c r="N85" t="s">
        <v>25</v>
      </c>
      <c r="O85" t="s">
        <v>25</v>
      </c>
      <c r="P85" s="5">
        <v>9.9999999999999995E-7</v>
      </c>
      <c r="Q85">
        <v>20</v>
      </c>
      <c r="R85" s="4" t="s">
        <v>698</v>
      </c>
      <c r="S85" t="s">
        <v>563</v>
      </c>
    </row>
    <row r="86" spans="1:19" ht="15" customHeight="1" x14ac:dyDescent="0.25">
      <c r="A86" t="s">
        <v>164</v>
      </c>
      <c r="B86" t="s">
        <v>251</v>
      </c>
      <c r="C86" t="s">
        <v>73</v>
      </c>
      <c r="D86" t="s">
        <v>54</v>
      </c>
      <c r="E86" t="s">
        <v>23</v>
      </c>
      <c r="F86" t="str">
        <f t="shared" ref="F86" si="21">"/code/TS3-"&amp;D86&amp;"/lexrank"</f>
        <v>/code/TS3-S3/lexrank</v>
      </c>
      <c r="G86" t="s">
        <v>169</v>
      </c>
      <c r="H86">
        <v>1.61870890099999</v>
      </c>
      <c r="I86" t="s">
        <v>303</v>
      </c>
      <c r="J86">
        <v>1.5793668530004601</v>
      </c>
      <c r="K86" s="5">
        <v>1.9999999999999999E-6</v>
      </c>
      <c r="L86" s="5">
        <v>9.9999999999999995E-7</v>
      </c>
      <c r="M86">
        <v>32.5</v>
      </c>
      <c r="N86" t="s">
        <v>25</v>
      </c>
      <c r="O86" t="s">
        <v>25</v>
      </c>
      <c r="P86" s="5">
        <v>9.9999999999999995E-7</v>
      </c>
      <c r="Q86">
        <v>20</v>
      </c>
      <c r="R86" s="4" t="s">
        <v>699</v>
      </c>
      <c r="S86" t="s">
        <v>564</v>
      </c>
    </row>
    <row r="87" spans="1:19" ht="15" customHeight="1" x14ac:dyDescent="0.25">
      <c r="A87" t="s">
        <v>164</v>
      </c>
      <c r="B87" t="s">
        <v>251</v>
      </c>
      <c r="C87" t="s">
        <v>73</v>
      </c>
      <c r="D87" t="s">
        <v>54</v>
      </c>
      <c r="E87" t="s">
        <v>23</v>
      </c>
      <c r="F87" t="str">
        <f t="shared" ref="F87" si="22">"/code/TS3-"&amp;D87&amp;"/lexrank"</f>
        <v>/code/TS3-S3/lexrank</v>
      </c>
      <c r="G87" t="s">
        <v>169</v>
      </c>
      <c r="H87">
        <v>1.61870890099999</v>
      </c>
      <c r="I87" t="s">
        <v>304</v>
      </c>
      <c r="J87">
        <v>1.5717955910004</v>
      </c>
      <c r="K87">
        <v>1.9999999999999999E-6</v>
      </c>
      <c r="L87">
        <v>9.9999999999999995E-7</v>
      </c>
      <c r="M87">
        <v>32.5</v>
      </c>
      <c r="N87" t="s">
        <v>25</v>
      </c>
      <c r="O87" t="s">
        <v>25</v>
      </c>
      <c r="P87">
        <v>9.9999999999999995E-7</v>
      </c>
      <c r="Q87">
        <v>20</v>
      </c>
      <c r="R87" s="4" t="s">
        <v>700</v>
      </c>
      <c r="S87" t="s">
        <v>565</v>
      </c>
    </row>
    <row r="88" spans="1:19" ht="15" customHeight="1" x14ac:dyDescent="0.25">
      <c r="A88" t="s">
        <v>164</v>
      </c>
      <c r="B88" t="s">
        <v>251</v>
      </c>
      <c r="C88" t="s">
        <v>73</v>
      </c>
      <c r="D88" t="s">
        <v>54</v>
      </c>
      <c r="E88" t="s">
        <v>23</v>
      </c>
      <c r="F88" t="str">
        <f t="shared" ref="F88:F97" si="23">"/code/TS3-"&amp;D88&amp;"/lexrank"</f>
        <v>/code/TS3-S3/lexrank</v>
      </c>
      <c r="G88" t="s">
        <v>169</v>
      </c>
      <c r="H88">
        <v>1.61870890099999</v>
      </c>
      <c r="I88" t="s">
        <v>305</v>
      </c>
      <c r="J88">
        <v>1.5607708890001899</v>
      </c>
      <c r="K88">
        <v>1.9999999999999999E-6</v>
      </c>
      <c r="L88">
        <v>9.9999999999999995E-7</v>
      </c>
      <c r="M88">
        <v>32.5</v>
      </c>
      <c r="N88" t="s">
        <v>25</v>
      </c>
      <c r="O88" t="s">
        <v>25</v>
      </c>
      <c r="P88">
        <v>9.9999999999999995E-7</v>
      </c>
      <c r="Q88">
        <v>20</v>
      </c>
      <c r="R88" s="4" t="s">
        <v>701</v>
      </c>
      <c r="S88" t="s">
        <v>566</v>
      </c>
    </row>
    <row r="89" spans="1:19" ht="15" customHeight="1" x14ac:dyDescent="0.25">
      <c r="A89" t="s">
        <v>164</v>
      </c>
      <c r="B89" t="s">
        <v>251</v>
      </c>
      <c r="C89" t="s">
        <v>73</v>
      </c>
      <c r="D89" t="s">
        <v>54</v>
      </c>
      <c r="E89" t="s">
        <v>23</v>
      </c>
      <c r="F89" t="str">
        <f t="shared" si="23"/>
        <v>/code/TS3-S3/lexrank</v>
      </c>
      <c r="G89" t="s">
        <v>172</v>
      </c>
      <c r="H89">
        <v>2.48021374200016</v>
      </c>
      <c r="I89" t="s">
        <v>303</v>
      </c>
      <c r="J89">
        <v>2.4423499219992602</v>
      </c>
      <c r="K89">
        <v>1.4E-5</v>
      </c>
      <c r="L89">
        <v>9.0000000000000002E-6</v>
      </c>
      <c r="M89">
        <v>32.5</v>
      </c>
      <c r="N89" t="s">
        <v>25</v>
      </c>
      <c r="O89" t="s">
        <v>25</v>
      </c>
      <c r="P89">
        <v>6.0000000000000002E-6</v>
      </c>
      <c r="Q89">
        <v>20</v>
      </c>
      <c r="R89" s="4" t="s">
        <v>702</v>
      </c>
      <c r="S89" t="s">
        <v>567</v>
      </c>
    </row>
    <row r="90" spans="1:19" ht="15" customHeight="1" x14ac:dyDescent="0.25">
      <c r="A90" t="s">
        <v>164</v>
      </c>
      <c r="B90" t="s">
        <v>251</v>
      </c>
      <c r="C90" t="s">
        <v>73</v>
      </c>
      <c r="D90" t="s">
        <v>54</v>
      </c>
      <c r="E90" t="s">
        <v>23</v>
      </c>
      <c r="F90" t="str">
        <f t="shared" ref="F90" si="24">"/code/TS3-"&amp;D90&amp;"/lexrank"</f>
        <v>/code/TS3-S3/lexrank</v>
      </c>
      <c r="G90" t="s">
        <v>172</v>
      </c>
      <c r="H90">
        <v>2.48021374200016</v>
      </c>
      <c r="I90" t="s">
        <v>304</v>
      </c>
      <c r="J90">
        <v>2.4673845939996601</v>
      </c>
      <c r="K90">
        <v>1.5E-5</v>
      </c>
      <c r="L90">
        <v>9.0000000000000002E-6</v>
      </c>
      <c r="M90">
        <v>32.5</v>
      </c>
      <c r="N90" t="s">
        <v>25</v>
      </c>
      <c r="O90" t="s">
        <v>25</v>
      </c>
      <c r="P90">
        <v>6.0000000000000002E-6</v>
      </c>
      <c r="Q90">
        <v>20</v>
      </c>
      <c r="R90" s="4" t="s">
        <v>703</v>
      </c>
      <c r="S90" t="s">
        <v>568</v>
      </c>
    </row>
    <row r="91" spans="1:19" ht="15" customHeight="1" x14ac:dyDescent="0.25">
      <c r="A91" t="s">
        <v>164</v>
      </c>
      <c r="B91" t="s">
        <v>251</v>
      </c>
      <c r="C91" t="s">
        <v>73</v>
      </c>
      <c r="D91" t="s">
        <v>54</v>
      </c>
      <c r="E91" t="s">
        <v>23</v>
      </c>
      <c r="F91" t="str">
        <f t="shared" si="23"/>
        <v>/code/TS3-S3/lexrank</v>
      </c>
      <c r="G91" t="s">
        <v>172</v>
      </c>
      <c r="H91">
        <v>2.48021374200016</v>
      </c>
      <c r="I91" t="s">
        <v>305</v>
      </c>
      <c r="J91">
        <v>2.4425850799998399</v>
      </c>
      <c r="K91">
        <v>1.4E-5</v>
      </c>
      <c r="L91">
        <v>9.0000000000000002E-6</v>
      </c>
      <c r="M91">
        <v>32.5</v>
      </c>
      <c r="N91" t="s">
        <v>25</v>
      </c>
      <c r="O91" t="s">
        <v>25</v>
      </c>
      <c r="P91">
        <v>5.0000000000000004E-6</v>
      </c>
      <c r="Q91">
        <v>20</v>
      </c>
      <c r="R91" s="4" t="s">
        <v>704</v>
      </c>
      <c r="S91" t="s">
        <v>569</v>
      </c>
    </row>
    <row r="92" spans="1:19" ht="15" customHeight="1" x14ac:dyDescent="0.25">
      <c r="A92" t="s">
        <v>164</v>
      </c>
      <c r="B92" t="s">
        <v>251</v>
      </c>
      <c r="C92" t="s">
        <v>73</v>
      </c>
      <c r="D92" t="s">
        <v>54</v>
      </c>
      <c r="E92" t="s">
        <v>23</v>
      </c>
      <c r="F92" t="str">
        <f t="shared" si="23"/>
        <v>/code/TS3-S3/lexrank</v>
      </c>
      <c r="G92" t="s">
        <v>175</v>
      </c>
      <c r="H92">
        <v>3.40723126200009</v>
      </c>
      <c r="I92" t="s">
        <v>303</v>
      </c>
      <c r="J92">
        <v>3.2951047240003302</v>
      </c>
      <c r="K92">
        <v>2.6999999999999999E-5</v>
      </c>
      <c r="L92">
        <v>1.5999999999999999E-5</v>
      </c>
      <c r="M92">
        <v>32.5</v>
      </c>
      <c r="N92" t="s">
        <v>25</v>
      </c>
      <c r="O92" t="s">
        <v>25</v>
      </c>
      <c r="P92">
        <v>1.0000000000000001E-5</v>
      </c>
      <c r="Q92">
        <v>20</v>
      </c>
      <c r="R92" s="4" t="s">
        <v>705</v>
      </c>
      <c r="S92" t="s">
        <v>570</v>
      </c>
    </row>
    <row r="93" spans="1:19" ht="15" customHeight="1" x14ac:dyDescent="0.25">
      <c r="A93" t="s">
        <v>164</v>
      </c>
      <c r="B93" t="s">
        <v>251</v>
      </c>
      <c r="C93" t="s">
        <v>73</v>
      </c>
      <c r="D93" t="s">
        <v>54</v>
      </c>
      <c r="E93" t="s">
        <v>23</v>
      </c>
      <c r="F93" t="str">
        <f t="shared" ref="F93" si="25">"/code/TS3-"&amp;D93&amp;"/lexrank"</f>
        <v>/code/TS3-S3/lexrank</v>
      </c>
      <c r="G93" t="s">
        <v>175</v>
      </c>
      <c r="H93">
        <v>3.40723126200009</v>
      </c>
      <c r="I93" t="s">
        <v>304</v>
      </c>
      <c r="J93">
        <v>3.34247463300016</v>
      </c>
      <c r="K93">
        <v>2.6999999999999999E-5</v>
      </c>
      <c r="L93">
        <v>1.7E-5</v>
      </c>
      <c r="M93">
        <v>32.5</v>
      </c>
      <c r="N93" t="s">
        <v>25</v>
      </c>
      <c r="O93" t="s">
        <v>25</v>
      </c>
      <c r="P93">
        <v>1.0000000000000001E-5</v>
      </c>
      <c r="Q93">
        <v>20</v>
      </c>
      <c r="R93" s="4" t="s">
        <v>706</v>
      </c>
      <c r="S93" t="s">
        <v>571</v>
      </c>
    </row>
    <row r="94" spans="1:19" ht="15" customHeight="1" x14ac:dyDescent="0.25">
      <c r="A94" t="s">
        <v>164</v>
      </c>
      <c r="B94" t="s">
        <v>251</v>
      </c>
      <c r="C94" t="s">
        <v>73</v>
      </c>
      <c r="D94" t="s">
        <v>54</v>
      </c>
      <c r="E94" t="s">
        <v>23</v>
      </c>
      <c r="F94" t="str">
        <f t="shared" si="23"/>
        <v>/code/TS3-S3/lexrank</v>
      </c>
      <c r="G94" t="s">
        <v>175</v>
      </c>
      <c r="H94">
        <v>3.40723126200009</v>
      </c>
      <c r="I94" t="s">
        <v>305</v>
      </c>
      <c r="J94">
        <v>3.27953643899854</v>
      </c>
      <c r="K94">
        <v>2.6999999999999999E-5</v>
      </c>
      <c r="L94">
        <v>1.5999999999999999E-5</v>
      </c>
      <c r="M94">
        <v>32.5</v>
      </c>
      <c r="N94" t="s">
        <v>25</v>
      </c>
      <c r="O94" t="s">
        <v>25</v>
      </c>
      <c r="P94">
        <v>1.0000000000000001E-5</v>
      </c>
      <c r="Q94">
        <v>20</v>
      </c>
      <c r="R94" s="4" t="s">
        <v>707</v>
      </c>
      <c r="S94" t="s">
        <v>572</v>
      </c>
    </row>
    <row r="95" spans="1:19" ht="15" customHeight="1" x14ac:dyDescent="0.25">
      <c r="A95" t="s">
        <v>164</v>
      </c>
      <c r="B95" t="s">
        <v>251</v>
      </c>
      <c r="C95" t="s">
        <v>73</v>
      </c>
      <c r="D95" t="s">
        <v>54</v>
      </c>
      <c r="E95" t="s">
        <v>23</v>
      </c>
      <c r="F95" t="str">
        <f t="shared" si="23"/>
        <v>/code/TS3-S3/lexrank</v>
      </c>
      <c r="G95" t="s">
        <v>178</v>
      </c>
      <c r="H95">
        <v>1.7606556949999601</v>
      </c>
      <c r="I95" t="s">
        <v>303</v>
      </c>
      <c r="J95">
        <v>1.7788308069993899</v>
      </c>
      <c r="K95">
        <v>5.0000000000000004E-6</v>
      </c>
      <c r="L95">
        <v>3.0000000000000001E-6</v>
      </c>
      <c r="M95">
        <v>32.5</v>
      </c>
      <c r="N95" t="s">
        <v>25</v>
      </c>
      <c r="O95" t="s">
        <v>25</v>
      </c>
      <c r="P95">
        <v>1.9999999999999999E-6</v>
      </c>
      <c r="Q95">
        <v>20</v>
      </c>
      <c r="R95" s="4" t="s">
        <v>708</v>
      </c>
      <c r="S95" t="s">
        <v>573</v>
      </c>
    </row>
    <row r="96" spans="1:19" ht="15" customHeight="1" x14ac:dyDescent="0.25">
      <c r="A96" t="s">
        <v>164</v>
      </c>
      <c r="B96" t="s">
        <v>251</v>
      </c>
      <c r="C96" t="s">
        <v>73</v>
      </c>
      <c r="D96" t="s">
        <v>54</v>
      </c>
      <c r="E96" t="s">
        <v>23</v>
      </c>
      <c r="F96" t="str">
        <f t="shared" ref="F96" si="26">"/code/TS3-"&amp;D96&amp;"/lexrank"</f>
        <v>/code/TS3-S3/lexrank</v>
      </c>
      <c r="G96" t="s">
        <v>178</v>
      </c>
      <c r="H96">
        <v>1.7606556949999601</v>
      </c>
      <c r="I96" t="s">
        <v>304</v>
      </c>
      <c r="J96">
        <v>1.7597269739999299</v>
      </c>
      <c r="K96">
        <v>3.9999999999999998E-6</v>
      </c>
      <c r="L96">
        <v>3.0000000000000001E-6</v>
      </c>
      <c r="M96">
        <v>32.5</v>
      </c>
      <c r="N96" t="s">
        <v>25</v>
      </c>
      <c r="O96" t="s">
        <v>25</v>
      </c>
      <c r="P96">
        <v>1.9999999999999999E-6</v>
      </c>
      <c r="Q96">
        <v>20</v>
      </c>
      <c r="R96" s="4" t="s">
        <v>709</v>
      </c>
      <c r="S96" t="s">
        <v>574</v>
      </c>
    </row>
    <row r="97" spans="1:19" ht="15" customHeight="1" x14ac:dyDescent="0.25">
      <c r="A97" t="s">
        <v>164</v>
      </c>
      <c r="B97" t="s">
        <v>251</v>
      </c>
      <c r="C97" t="s">
        <v>73</v>
      </c>
      <c r="D97" t="s">
        <v>54</v>
      </c>
      <c r="E97" t="s">
        <v>23</v>
      </c>
      <c r="F97" t="str">
        <f t="shared" si="23"/>
        <v>/code/TS3-S3/lexrank</v>
      </c>
      <c r="G97" t="s">
        <v>178</v>
      </c>
      <c r="H97">
        <v>1.7606556949999601</v>
      </c>
      <c r="I97" t="s">
        <v>305</v>
      </c>
      <c r="J97">
        <v>1.7821188050001999</v>
      </c>
      <c r="K97">
        <v>5.0000000000000004E-6</v>
      </c>
      <c r="L97">
        <v>3.0000000000000001E-6</v>
      </c>
      <c r="M97">
        <v>32.5</v>
      </c>
      <c r="N97" t="s">
        <v>25</v>
      </c>
      <c r="O97" t="s">
        <v>25</v>
      </c>
      <c r="P97">
        <v>1.9999999999999999E-6</v>
      </c>
      <c r="Q97">
        <v>20</v>
      </c>
      <c r="R97" s="4" t="s">
        <v>710</v>
      </c>
      <c r="S97" t="s">
        <v>575</v>
      </c>
    </row>
    <row r="98" spans="1:19" ht="15" customHeight="1" x14ac:dyDescent="0.25">
      <c r="A98" t="s">
        <v>164</v>
      </c>
      <c r="B98" t="s">
        <v>251</v>
      </c>
      <c r="C98" t="s">
        <v>134</v>
      </c>
      <c r="D98" t="s">
        <v>54</v>
      </c>
      <c r="E98" t="s">
        <v>23</v>
      </c>
      <c r="F98" t="str">
        <f t="shared" ref="F98" si="27">"/code/TS3-"&amp;D98&amp;"/mlongt5"</f>
        <v>/code/TS3-S3/mlongt5</v>
      </c>
      <c r="G98" t="s">
        <v>166</v>
      </c>
      <c r="H98">
        <v>198.38405784899899</v>
      </c>
      <c r="I98" t="s">
        <v>303</v>
      </c>
      <c r="J98">
        <v>206.205926849999</v>
      </c>
      <c r="K98">
        <v>2.9849999999999998E-3</v>
      </c>
      <c r="L98">
        <v>1.848E-3</v>
      </c>
      <c r="M98">
        <v>32.5</v>
      </c>
      <c r="N98" t="s">
        <v>25</v>
      </c>
      <c r="O98" t="s">
        <v>25</v>
      </c>
      <c r="P98">
        <v>1.137E-3</v>
      </c>
      <c r="Q98">
        <v>20</v>
      </c>
      <c r="R98" s="4" t="s">
        <v>711</v>
      </c>
      <c r="S98" t="s">
        <v>576</v>
      </c>
    </row>
    <row r="99" spans="1:19" ht="15" customHeight="1" x14ac:dyDescent="0.25">
      <c r="A99" t="s">
        <v>164</v>
      </c>
      <c r="B99" t="s">
        <v>251</v>
      </c>
      <c r="C99" t="s">
        <v>134</v>
      </c>
      <c r="D99" t="s">
        <v>54</v>
      </c>
      <c r="E99" t="s">
        <v>23</v>
      </c>
      <c r="F99" t="str">
        <f t="shared" ref="F99" si="28">"/code/TS3-"&amp;D99&amp;"/mlongt5"</f>
        <v>/code/TS3-S3/mlongt5</v>
      </c>
      <c r="G99" t="s">
        <v>166</v>
      </c>
      <c r="H99">
        <v>198.38405784899899</v>
      </c>
      <c r="I99" t="s">
        <v>304</v>
      </c>
      <c r="J99">
        <v>200.39336812299999</v>
      </c>
      <c r="K99">
        <v>2.8999999999999998E-3</v>
      </c>
      <c r="L99">
        <v>1.7949999999999999E-3</v>
      </c>
      <c r="M99">
        <v>32.5</v>
      </c>
      <c r="N99" t="s">
        <v>25</v>
      </c>
      <c r="O99" t="s">
        <v>25</v>
      </c>
      <c r="P99">
        <v>1.1050000000000001E-3</v>
      </c>
      <c r="Q99">
        <v>20</v>
      </c>
      <c r="R99" s="4" t="s">
        <v>712</v>
      </c>
      <c r="S99" t="s">
        <v>577</v>
      </c>
    </row>
    <row r="100" spans="1:19" ht="15" customHeight="1" x14ac:dyDescent="0.25">
      <c r="A100" t="s">
        <v>164</v>
      </c>
      <c r="B100" t="s">
        <v>251</v>
      </c>
      <c r="C100" t="s">
        <v>134</v>
      </c>
      <c r="D100" t="s">
        <v>54</v>
      </c>
      <c r="E100" t="s">
        <v>23</v>
      </c>
      <c r="F100" t="str">
        <f t="shared" ref="F100:F127" si="29">"/code/TS3-"&amp;D100&amp;"/mlongt5"</f>
        <v>/code/TS3-S3/mlongt5</v>
      </c>
      <c r="G100" t="s">
        <v>166</v>
      </c>
      <c r="H100">
        <v>198.38405784899899</v>
      </c>
      <c r="I100" t="s">
        <v>305</v>
      </c>
      <c r="J100">
        <v>203.21554292099901</v>
      </c>
      <c r="K100">
        <v>2.941E-3</v>
      </c>
      <c r="L100">
        <v>1.8209999999999999E-3</v>
      </c>
      <c r="M100">
        <v>32.5</v>
      </c>
      <c r="N100" t="s">
        <v>25</v>
      </c>
      <c r="O100" t="s">
        <v>25</v>
      </c>
      <c r="P100">
        <v>1.121E-3</v>
      </c>
      <c r="Q100">
        <v>20</v>
      </c>
      <c r="R100" s="4" t="s">
        <v>713</v>
      </c>
      <c r="S100" t="s">
        <v>578</v>
      </c>
    </row>
    <row r="101" spans="1:19" ht="15" customHeight="1" x14ac:dyDescent="0.25">
      <c r="A101" t="s">
        <v>164</v>
      </c>
      <c r="B101" t="s">
        <v>251</v>
      </c>
      <c r="C101" t="s">
        <v>134</v>
      </c>
      <c r="D101" t="s">
        <v>54</v>
      </c>
      <c r="E101" t="s">
        <v>48</v>
      </c>
      <c r="F101" t="str">
        <f t="shared" si="29"/>
        <v>/code/TS3-S3/mlongt5</v>
      </c>
      <c r="G101" t="s">
        <v>166</v>
      </c>
      <c r="H101">
        <v>60.455513714001398</v>
      </c>
      <c r="I101" t="s">
        <v>303</v>
      </c>
      <c r="J101">
        <v>61.620813474999501</v>
      </c>
      <c r="K101">
        <v>1.786E-3</v>
      </c>
      <c r="L101">
        <v>5.4199999999999995E-4</v>
      </c>
      <c r="M101">
        <v>32.5</v>
      </c>
      <c r="N101">
        <v>9.1E-4</v>
      </c>
      <c r="O101">
        <v>121.169696417624</v>
      </c>
      <c r="P101">
        <v>3.3399999999999999E-4</v>
      </c>
      <c r="Q101">
        <v>20</v>
      </c>
      <c r="R101" s="4" t="s">
        <v>714</v>
      </c>
      <c r="S101" t="s">
        <v>579</v>
      </c>
    </row>
    <row r="102" spans="1:19" ht="15" customHeight="1" x14ac:dyDescent="0.25">
      <c r="A102" t="s">
        <v>164</v>
      </c>
      <c r="B102" t="s">
        <v>251</v>
      </c>
      <c r="C102" t="s">
        <v>134</v>
      </c>
      <c r="D102" t="s">
        <v>54</v>
      </c>
      <c r="E102" t="s">
        <v>48</v>
      </c>
      <c r="F102" t="str">
        <f t="shared" ref="F102" si="30">"/code/TS3-"&amp;D102&amp;"/mlongt5"</f>
        <v>/code/TS3-S3/mlongt5</v>
      </c>
      <c r="G102" t="s">
        <v>166</v>
      </c>
      <c r="H102">
        <v>60.455513714001398</v>
      </c>
      <c r="I102" t="s">
        <v>304</v>
      </c>
      <c r="J102">
        <v>67.178331365999796</v>
      </c>
      <c r="K102">
        <v>1.9559999999999998E-3</v>
      </c>
      <c r="L102">
        <v>5.9199999999999997E-4</v>
      </c>
      <c r="M102">
        <v>32.5</v>
      </c>
      <c r="N102">
        <v>1E-3</v>
      </c>
      <c r="O102">
        <v>79.635184222662204</v>
      </c>
      <c r="P102">
        <v>3.6400000000000001E-4</v>
      </c>
      <c r="Q102">
        <v>20</v>
      </c>
      <c r="R102" s="4" t="s">
        <v>715</v>
      </c>
      <c r="S102" t="s">
        <v>580</v>
      </c>
    </row>
    <row r="103" spans="1:19" ht="15" customHeight="1" x14ac:dyDescent="0.25">
      <c r="A103" t="s">
        <v>164</v>
      </c>
      <c r="B103" t="s">
        <v>251</v>
      </c>
      <c r="C103" t="s">
        <v>134</v>
      </c>
      <c r="D103" t="s">
        <v>54</v>
      </c>
      <c r="E103" t="s">
        <v>48</v>
      </c>
      <c r="F103" t="str">
        <f t="shared" si="29"/>
        <v>/code/TS3-S3/mlongt5</v>
      </c>
      <c r="G103" t="s">
        <v>166</v>
      </c>
      <c r="H103">
        <v>60.455513714001398</v>
      </c>
      <c r="I103" t="s">
        <v>305</v>
      </c>
      <c r="J103">
        <v>60.586046483000203</v>
      </c>
      <c r="K103">
        <v>1.8320000000000001E-3</v>
      </c>
      <c r="L103">
        <v>5.3300000000000005E-4</v>
      </c>
      <c r="M103">
        <v>32.5</v>
      </c>
      <c r="N103">
        <v>9.7099999999999997E-4</v>
      </c>
      <c r="O103">
        <v>81.303096771339597</v>
      </c>
      <c r="P103">
        <v>3.28E-4</v>
      </c>
      <c r="Q103">
        <v>20</v>
      </c>
      <c r="R103" s="4" t="s">
        <v>716</v>
      </c>
      <c r="S103" t="s">
        <v>581</v>
      </c>
    </row>
    <row r="104" spans="1:19" ht="15" customHeight="1" x14ac:dyDescent="0.25">
      <c r="A104" t="s">
        <v>164</v>
      </c>
      <c r="B104" t="s">
        <v>251</v>
      </c>
      <c r="C104" t="s">
        <v>134</v>
      </c>
      <c r="D104" t="s">
        <v>54</v>
      </c>
      <c r="E104" t="s">
        <v>23</v>
      </c>
      <c r="F104" t="str">
        <f t="shared" si="29"/>
        <v>/code/TS3-S3/mlongt5</v>
      </c>
      <c r="G104" t="s">
        <v>169</v>
      </c>
      <c r="H104">
        <v>141.43143828000001</v>
      </c>
      <c r="I104" t="s">
        <v>303</v>
      </c>
      <c r="J104">
        <v>137.46931460599899</v>
      </c>
      <c r="K104">
        <v>1.983E-3</v>
      </c>
      <c r="L104">
        <v>1.227E-3</v>
      </c>
      <c r="M104">
        <v>32.5</v>
      </c>
      <c r="N104" t="s">
        <v>25</v>
      </c>
      <c r="O104" t="s">
        <v>25</v>
      </c>
      <c r="P104">
        <v>7.5500000000000003E-4</v>
      </c>
      <c r="Q104">
        <v>20</v>
      </c>
      <c r="R104" s="4" t="s">
        <v>717</v>
      </c>
      <c r="S104" t="s">
        <v>582</v>
      </c>
    </row>
    <row r="105" spans="1:19" ht="15" customHeight="1" x14ac:dyDescent="0.25">
      <c r="A105" t="s">
        <v>164</v>
      </c>
      <c r="B105" t="s">
        <v>251</v>
      </c>
      <c r="C105" t="s">
        <v>134</v>
      </c>
      <c r="D105" t="s">
        <v>54</v>
      </c>
      <c r="E105" t="s">
        <v>23</v>
      </c>
      <c r="F105" t="str">
        <f t="shared" ref="F105" si="31">"/code/TS3-"&amp;D105&amp;"/mlongt5"</f>
        <v>/code/TS3-S3/mlongt5</v>
      </c>
      <c r="G105" t="s">
        <v>169</v>
      </c>
      <c r="H105">
        <v>141.43143828000001</v>
      </c>
      <c r="I105" t="s">
        <v>304</v>
      </c>
      <c r="J105">
        <v>136.53246336399999</v>
      </c>
      <c r="K105">
        <v>1.9650000000000002E-3</v>
      </c>
      <c r="L105">
        <v>1.2160000000000001E-3</v>
      </c>
      <c r="M105">
        <v>32.5</v>
      </c>
      <c r="N105" t="s">
        <v>25</v>
      </c>
      <c r="O105" t="s">
        <v>25</v>
      </c>
      <c r="P105">
        <v>7.4799999999999997E-4</v>
      </c>
      <c r="Q105">
        <v>20</v>
      </c>
      <c r="R105" s="4" t="s">
        <v>718</v>
      </c>
      <c r="S105" t="s">
        <v>583</v>
      </c>
    </row>
    <row r="106" spans="1:19" ht="15" customHeight="1" x14ac:dyDescent="0.25">
      <c r="A106" t="s">
        <v>164</v>
      </c>
      <c r="B106" t="s">
        <v>251</v>
      </c>
      <c r="C106" t="s">
        <v>134</v>
      </c>
      <c r="D106" t="s">
        <v>54</v>
      </c>
      <c r="E106" t="s">
        <v>23</v>
      </c>
      <c r="F106" t="str">
        <f t="shared" si="29"/>
        <v>/code/TS3-S3/mlongt5</v>
      </c>
      <c r="G106" t="s">
        <v>169</v>
      </c>
      <c r="H106">
        <v>141.43143828000001</v>
      </c>
      <c r="I106" t="s">
        <v>305</v>
      </c>
      <c r="J106">
        <v>137.32291365899999</v>
      </c>
      <c r="K106">
        <v>1.9810000000000001E-3</v>
      </c>
      <c r="L106">
        <v>1.2260000000000001E-3</v>
      </c>
      <c r="M106">
        <v>32.5</v>
      </c>
      <c r="N106" t="s">
        <v>25</v>
      </c>
      <c r="O106" t="s">
        <v>25</v>
      </c>
      <c r="P106">
        <v>7.5500000000000003E-4</v>
      </c>
      <c r="Q106">
        <v>20</v>
      </c>
      <c r="R106" s="4" t="s">
        <v>719</v>
      </c>
      <c r="S106" t="s">
        <v>584</v>
      </c>
    </row>
    <row r="107" spans="1:19" ht="15" customHeight="1" x14ac:dyDescent="0.25">
      <c r="A107" t="s">
        <v>164</v>
      </c>
      <c r="B107" t="s">
        <v>251</v>
      </c>
      <c r="C107" t="s">
        <v>134</v>
      </c>
      <c r="D107" t="s">
        <v>54</v>
      </c>
      <c r="E107" t="s">
        <v>48</v>
      </c>
      <c r="F107" t="str">
        <f t="shared" si="29"/>
        <v>/code/TS3-S3/mlongt5</v>
      </c>
      <c r="G107" t="s">
        <v>169</v>
      </c>
      <c r="H107">
        <v>49.986265390999897</v>
      </c>
      <c r="I107" t="s">
        <v>303</v>
      </c>
      <c r="J107">
        <v>53.565290234000699</v>
      </c>
      <c r="K107">
        <v>1.5200000000000001E-3</v>
      </c>
      <c r="L107">
        <v>4.6999999999999999E-4</v>
      </c>
      <c r="M107">
        <v>32.5</v>
      </c>
      <c r="N107">
        <v>7.6099999999999996E-4</v>
      </c>
      <c r="O107">
        <v>75.380030807642598</v>
      </c>
      <c r="P107">
        <v>2.8899999999999998E-4</v>
      </c>
      <c r="Q107">
        <v>20</v>
      </c>
      <c r="R107" s="4" t="s">
        <v>720</v>
      </c>
      <c r="S107" t="s">
        <v>585</v>
      </c>
    </row>
    <row r="108" spans="1:19" ht="15" customHeight="1" x14ac:dyDescent="0.25">
      <c r="A108" t="s">
        <v>164</v>
      </c>
      <c r="B108" t="s">
        <v>251</v>
      </c>
      <c r="C108" t="s">
        <v>134</v>
      </c>
      <c r="D108" t="s">
        <v>54</v>
      </c>
      <c r="E108" t="s">
        <v>48</v>
      </c>
      <c r="F108" t="str">
        <f t="shared" ref="F108" si="32">"/code/TS3-"&amp;D108&amp;"/mlongt5"</f>
        <v>/code/TS3-S3/mlongt5</v>
      </c>
      <c r="G108" t="s">
        <v>169</v>
      </c>
      <c r="H108">
        <v>49.986265390999897</v>
      </c>
      <c r="I108" t="s">
        <v>304</v>
      </c>
      <c r="J108">
        <v>54.086434462999001</v>
      </c>
      <c r="K108">
        <v>1.537E-3</v>
      </c>
      <c r="L108">
        <v>4.75E-4</v>
      </c>
      <c r="M108">
        <v>32.5</v>
      </c>
      <c r="N108">
        <v>7.6999999999999996E-4</v>
      </c>
      <c r="O108">
        <v>81.098537242388701</v>
      </c>
      <c r="P108">
        <v>2.92E-4</v>
      </c>
      <c r="Q108">
        <v>20</v>
      </c>
      <c r="R108" s="4" t="s">
        <v>721</v>
      </c>
      <c r="S108" t="s">
        <v>586</v>
      </c>
    </row>
    <row r="109" spans="1:19" ht="15" customHeight="1" x14ac:dyDescent="0.25">
      <c r="A109" t="s">
        <v>164</v>
      </c>
      <c r="B109" t="s">
        <v>251</v>
      </c>
      <c r="C109" t="s">
        <v>134</v>
      </c>
      <c r="D109" t="s">
        <v>54</v>
      </c>
      <c r="E109" t="s">
        <v>48</v>
      </c>
      <c r="F109" t="str">
        <f t="shared" si="29"/>
        <v>/code/TS3-S3/mlongt5</v>
      </c>
      <c r="G109" t="s">
        <v>169</v>
      </c>
      <c r="H109">
        <v>49.986265390999897</v>
      </c>
      <c r="I109" t="s">
        <v>305</v>
      </c>
      <c r="J109">
        <v>54.799504927999799</v>
      </c>
      <c r="K109">
        <v>1.5690000000000001E-3</v>
      </c>
      <c r="L109">
        <v>4.8099999999999998E-4</v>
      </c>
      <c r="M109">
        <v>32.5</v>
      </c>
      <c r="N109">
        <v>7.9199999999999995E-4</v>
      </c>
      <c r="O109">
        <v>73.618204811587702</v>
      </c>
      <c r="P109">
        <v>2.9599999999999998E-4</v>
      </c>
      <c r="Q109">
        <v>20</v>
      </c>
      <c r="R109" s="4" t="s">
        <v>722</v>
      </c>
      <c r="S109" t="s">
        <v>587</v>
      </c>
    </row>
    <row r="110" spans="1:19" ht="15" customHeight="1" x14ac:dyDescent="0.25">
      <c r="A110" t="s">
        <v>164</v>
      </c>
      <c r="B110" t="s">
        <v>251</v>
      </c>
      <c r="C110" t="s">
        <v>134</v>
      </c>
      <c r="D110" t="s">
        <v>54</v>
      </c>
      <c r="E110" t="s">
        <v>23</v>
      </c>
      <c r="F110" t="str">
        <f t="shared" si="29"/>
        <v>/code/TS3-S3/mlongt5</v>
      </c>
      <c r="G110" t="s">
        <v>172</v>
      </c>
      <c r="H110">
        <v>670.144592257</v>
      </c>
      <c r="I110" t="s">
        <v>303</v>
      </c>
      <c r="J110">
        <v>648.79135999799996</v>
      </c>
      <c r="K110">
        <v>9.4359999999999999E-3</v>
      </c>
      <c r="L110">
        <v>5.8409999999999998E-3</v>
      </c>
      <c r="M110">
        <v>32.5</v>
      </c>
      <c r="N110" t="s">
        <v>25</v>
      </c>
      <c r="O110" t="s">
        <v>25</v>
      </c>
      <c r="P110">
        <v>3.5950000000000001E-3</v>
      </c>
      <c r="Q110">
        <v>20</v>
      </c>
      <c r="R110" s="4" t="s">
        <v>723</v>
      </c>
      <c r="S110" t="s">
        <v>588</v>
      </c>
    </row>
    <row r="111" spans="1:19" ht="15" customHeight="1" x14ac:dyDescent="0.25">
      <c r="A111" t="s">
        <v>164</v>
      </c>
      <c r="B111" t="s">
        <v>251</v>
      </c>
      <c r="C111" t="s">
        <v>134</v>
      </c>
      <c r="D111" t="s">
        <v>54</v>
      </c>
      <c r="E111" t="s">
        <v>23</v>
      </c>
      <c r="F111" t="str">
        <f t="shared" ref="F111" si="33">"/code/TS3-"&amp;D111&amp;"/mlongt5"</f>
        <v>/code/TS3-S3/mlongt5</v>
      </c>
      <c r="G111" t="s">
        <v>172</v>
      </c>
      <c r="H111">
        <v>670.144592257</v>
      </c>
      <c r="I111" t="s">
        <v>304</v>
      </c>
      <c r="J111">
        <v>647.74201453699902</v>
      </c>
      <c r="K111">
        <v>9.4210000000000006E-3</v>
      </c>
      <c r="L111">
        <v>5.8320000000000004E-3</v>
      </c>
      <c r="M111">
        <v>32.5</v>
      </c>
      <c r="N111" t="s">
        <v>25</v>
      </c>
      <c r="O111" t="s">
        <v>25</v>
      </c>
      <c r="P111">
        <v>3.5890000000000002E-3</v>
      </c>
      <c r="Q111">
        <v>20</v>
      </c>
      <c r="R111" s="4" t="s">
        <v>724</v>
      </c>
      <c r="S111" t="s">
        <v>589</v>
      </c>
    </row>
    <row r="112" spans="1:19" ht="15" customHeight="1" x14ac:dyDescent="0.25">
      <c r="A112" t="s">
        <v>164</v>
      </c>
      <c r="B112" t="s">
        <v>251</v>
      </c>
      <c r="C112" t="s">
        <v>134</v>
      </c>
      <c r="D112" t="s">
        <v>54</v>
      </c>
      <c r="E112" t="s">
        <v>23</v>
      </c>
      <c r="F112" t="str">
        <f t="shared" si="29"/>
        <v>/code/TS3-S3/mlongt5</v>
      </c>
      <c r="G112" t="s">
        <v>172</v>
      </c>
      <c r="H112">
        <v>670.144592257</v>
      </c>
      <c r="I112" t="s">
        <v>305</v>
      </c>
      <c r="J112">
        <v>647.43457516399906</v>
      </c>
      <c r="K112">
        <v>9.4160000000000008E-3</v>
      </c>
      <c r="L112">
        <v>5.829E-3</v>
      </c>
      <c r="M112">
        <v>32.5</v>
      </c>
      <c r="N112" t="s">
        <v>25</v>
      </c>
      <c r="O112" t="s">
        <v>25</v>
      </c>
      <c r="P112">
        <v>3.5869999999999999E-3</v>
      </c>
      <c r="Q112">
        <v>20</v>
      </c>
      <c r="R112" s="4" t="s">
        <v>725</v>
      </c>
      <c r="S112" t="s">
        <v>590</v>
      </c>
    </row>
    <row r="113" spans="1:19" ht="15" customHeight="1" x14ac:dyDescent="0.25">
      <c r="A113" t="s">
        <v>164</v>
      </c>
      <c r="B113" t="s">
        <v>251</v>
      </c>
      <c r="C113" t="s">
        <v>134</v>
      </c>
      <c r="D113" t="s">
        <v>54</v>
      </c>
      <c r="E113" t="s">
        <v>48</v>
      </c>
      <c r="F113" t="str">
        <f t="shared" si="29"/>
        <v>/code/TS3-S3/mlongt5</v>
      </c>
      <c r="G113" t="s">
        <v>172</v>
      </c>
      <c r="H113">
        <v>50.063651768999897</v>
      </c>
      <c r="I113" t="s">
        <v>303</v>
      </c>
      <c r="J113">
        <v>53.256093385998597</v>
      </c>
      <c r="K113">
        <v>1.9989999999999999E-3</v>
      </c>
      <c r="L113">
        <v>4.6700000000000002E-4</v>
      </c>
      <c r="M113">
        <v>32.5</v>
      </c>
      <c r="N113">
        <v>1.245E-3</v>
      </c>
      <c r="O113">
        <v>158.78801886865301</v>
      </c>
      <c r="P113">
        <v>2.8699999999999998E-4</v>
      </c>
      <c r="Q113">
        <v>20</v>
      </c>
      <c r="R113" s="4" t="s">
        <v>726</v>
      </c>
      <c r="S113" t="s">
        <v>591</v>
      </c>
    </row>
    <row r="114" spans="1:19" ht="15" customHeight="1" x14ac:dyDescent="0.25">
      <c r="A114" t="s">
        <v>164</v>
      </c>
      <c r="B114" t="s">
        <v>251</v>
      </c>
      <c r="C114" t="s">
        <v>134</v>
      </c>
      <c r="D114" t="s">
        <v>54</v>
      </c>
      <c r="E114" t="s">
        <v>48</v>
      </c>
      <c r="F114" t="str">
        <f t="shared" ref="F114" si="34">"/code/TS3-"&amp;D114&amp;"/mlongt5"</f>
        <v>/code/TS3-S3/mlongt5</v>
      </c>
      <c r="G114" t="s">
        <v>172</v>
      </c>
      <c r="H114">
        <v>50.063651768999897</v>
      </c>
      <c r="I114" t="s">
        <v>304</v>
      </c>
      <c r="J114">
        <v>52.866404280000999</v>
      </c>
      <c r="K114">
        <v>1.9919999999999998E-3</v>
      </c>
      <c r="L114">
        <v>4.64E-4</v>
      </c>
      <c r="M114">
        <v>32.5</v>
      </c>
      <c r="N114">
        <v>1.243E-3</v>
      </c>
      <c r="O114">
        <v>154.18722580553899</v>
      </c>
      <c r="P114">
        <v>2.8499999999999999E-4</v>
      </c>
      <c r="Q114">
        <v>20</v>
      </c>
      <c r="R114" s="4" t="s">
        <v>727</v>
      </c>
      <c r="S114" t="s">
        <v>592</v>
      </c>
    </row>
    <row r="115" spans="1:19" ht="15" customHeight="1" x14ac:dyDescent="0.25">
      <c r="A115" t="s">
        <v>164</v>
      </c>
      <c r="B115" t="s">
        <v>251</v>
      </c>
      <c r="C115" t="s">
        <v>134</v>
      </c>
      <c r="D115" t="s">
        <v>54</v>
      </c>
      <c r="E115" t="s">
        <v>48</v>
      </c>
      <c r="F115" t="str">
        <f t="shared" si="29"/>
        <v>/code/TS3-S3/mlongt5</v>
      </c>
      <c r="G115" t="s">
        <v>172</v>
      </c>
      <c r="H115">
        <v>50.063651768999897</v>
      </c>
      <c r="I115" t="s">
        <v>305</v>
      </c>
      <c r="J115">
        <v>52.596016008999797</v>
      </c>
      <c r="K115">
        <v>1.9849999999999998E-3</v>
      </c>
      <c r="L115">
        <v>4.6099999999999998E-4</v>
      </c>
      <c r="M115">
        <v>32.5</v>
      </c>
      <c r="N115">
        <v>1.24E-3</v>
      </c>
      <c r="O115">
        <v>150.48994349995999</v>
      </c>
      <c r="P115">
        <v>2.8400000000000002E-4</v>
      </c>
      <c r="Q115">
        <v>20</v>
      </c>
      <c r="R115" s="4" t="s">
        <v>728</v>
      </c>
      <c r="S115" t="s">
        <v>593</v>
      </c>
    </row>
    <row r="116" spans="1:19" ht="15" customHeight="1" x14ac:dyDescent="0.25">
      <c r="A116" t="s">
        <v>164</v>
      </c>
      <c r="B116" t="s">
        <v>251</v>
      </c>
      <c r="C116" t="s">
        <v>134</v>
      </c>
      <c r="D116" t="s">
        <v>54</v>
      </c>
      <c r="E116" t="s">
        <v>23</v>
      </c>
      <c r="F116" t="str">
        <f t="shared" si="29"/>
        <v>/code/TS3-S3/mlongt5</v>
      </c>
      <c r="G116" t="s">
        <v>175</v>
      </c>
      <c r="H116">
        <v>295.150229572</v>
      </c>
      <c r="I116" t="s">
        <v>303</v>
      </c>
      <c r="J116">
        <v>306.025529814999</v>
      </c>
      <c r="K116">
        <v>4.4409999999999996E-3</v>
      </c>
      <c r="L116">
        <v>2.7490000000000001E-3</v>
      </c>
      <c r="M116">
        <v>32.5</v>
      </c>
      <c r="N116" t="s">
        <v>25</v>
      </c>
      <c r="O116" t="s">
        <v>25</v>
      </c>
      <c r="P116">
        <v>1.6919999999999999E-3</v>
      </c>
      <c r="Q116">
        <v>20</v>
      </c>
      <c r="R116" s="4" t="s">
        <v>729</v>
      </c>
      <c r="S116" t="s">
        <v>594</v>
      </c>
    </row>
    <row r="117" spans="1:19" ht="15" customHeight="1" x14ac:dyDescent="0.25">
      <c r="A117" t="s">
        <v>164</v>
      </c>
      <c r="B117" t="s">
        <v>251</v>
      </c>
      <c r="C117" t="s">
        <v>134</v>
      </c>
      <c r="D117" t="s">
        <v>54</v>
      </c>
      <c r="E117" t="s">
        <v>23</v>
      </c>
      <c r="F117" t="str">
        <f t="shared" ref="F117" si="35">"/code/TS3-"&amp;D117&amp;"/mlongt5"</f>
        <v>/code/TS3-S3/mlongt5</v>
      </c>
      <c r="G117" t="s">
        <v>175</v>
      </c>
      <c r="H117">
        <v>295.150229572</v>
      </c>
      <c r="I117" t="s">
        <v>304</v>
      </c>
      <c r="J117">
        <v>299.41510792600002</v>
      </c>
      <c r="K117">
        <v>4.3439999999999998E-3</v>
      </c>
      <c r="L117">
        <v>2.689E-3</v>
      </c>
      <c r="M117">
        <v>32.5</v>
      </c>
      <c r="N117" t="s">
        <v>25</v>
      </c>
      <c r="O117" t="s">
        <v>25</v>
      </c>
      <c r="P117">
        <v>1.655E-3</v>
      </c>
      <c r="Q117">
        <v>20</v>
      </c>
      <c r="R117" s="4" t="s">
        <v>730</v>
      </c>
      <c r="S117" t="s">
        <v>595</v>
      </c>
    </row>
    <row r="118" spans="1:19" ht="15" customHeight="1" x14ac:dyDescent="0.25">
      <c r="A118" t="s">
        <v>164</v>
      </c>
      <c r="B118" t="s">
        <v>251</v>
      </c>
      <c r="C118" t="s">
        <v>134</v>
      </c>
      <c r="D118" t="s">
        <v>54</v>
      </c>
      <c r="E118" t="s">
        <v>23</v>
      </c>
      <c r="F118" t="str">
        <f t="shared" si="29"/>
        <v>/code/TS3-S3/mlongt5</v>
      </c>
      <c r="G118" t="s">
        <v>175</v>
      </c>
      <c r="H118">
        <v>295.150229572</v>
      </c>
      <c r="I118" t="s">
        <v>305</v>
      </c>
      <c r="J118">
        <v>298.125724458999</v>
      </c>
      <c r="K118">
        <v>4.3249999999999999E-3</v>
      </c>
      <c r="L118">
        <v>2.6779999999999998E-3</v>
      </c>
      <c r="M118">
        <v>32.5</v>
      </c>
      <c r="N118" t="s">
        <v>25</v>
      </c>
      <c r="O118" t="s">
        <v>25</v>
      </c>
      <c r="P118">
        <v>1.6479999999999999E-3</v>
      </c>
      <c r="Q118">
        <v>20</v>
      </c>
      <c r="R118" s="4" t="s">
        <v>731</v>
      </c>
      <c r="S118" t="s">
        <v>596</v>
      </c>
    </row>
    <row r="119" spans="1:19" ht="15" customHeight="1" x14ac:dyDescent="0.25">
      <c r="A119" t="s">
        <v>164</v>
      </c>
      <c r="B119" t="s">
        <v>251</v>
      </c>
      <c r="C119" t="s">
        <v>134</v>
      </c>
      <c r="D119" t="s">
        <v>54</v>
      </c>
      <c r="E119" t="s">
        <v>48</v>
      </c>
      <c r="F119" t="str">
        <f t="shared" si="29"/>
        <v>/code/TS3-S3/mlongt5</v>
      </c>
      <c r="G119" t="s">
        <v>175</v>
      </c>
      <c r="H119">
        <v>78.125925052999904</v>
      </c>
      <c r="I119" t="s">
        <v>303</v>
      </c>
      <c r="J119">
        <v>98.138915356001206</v>
      </c>
      <c r="K119">
        <v>3.1059999999999998E-3</v>
      </c>
      <c r="L119">
        <v>8.7200000000000005E-4</v>
      </c>
      <c r="M119">
        <v>32.5</v>
      </c>
      <c r="N119">
        <v>1.6969999999999999E-3</v>
      </c>
      <c r="O119">
        <v>75.819624563694305</v>
      </c>
      <c r="P119">
        <v>5.3700000000000004E-4</v>
      </c>
      <c r="Q119">
        <v>20</v>
      </c>
      <c r="R119" s="4" t="s">
        <v>732</v>
      </c>
      <c r="S119" t="s">
        <v>597</v>
      </c>
    </row>
    <row r="120" spans="1:19" ht="15" customHeight="1" x14ac:dyDescent="0.25">
      <c r="A120" t="s">
        <v>164</v>
      </c>
      <c r="B120" t="s">
        <v>251</v>
      </c>
      <c r="C120" t="s">
        <v>134</v>
      </c>
      <c r="D120" t="s">
        <v>54</v>
      </c>
      <c r="E120" t="s">
        <v>48</v>
      </c>
      <c r="F120" t="str">
        <f t="shared" ref="F120" si="36">"/code/TS3-"&amp;D120&amp;"/mlongt5"</f>
        <v>/code/TS3-S3/mlongt5</v>
      </c>
      <c r="G120" t="s">
        <v>175</v>
      </c>
      <c r="H120">
        <v>78.125925052999904</v>
      </c>
      <c r="I120" t="s">
        <v>304</v>
      </c>
      <c r="J120">
        <v>88.819956336999894</v>
      </c>
      <c r="K120">
        <v>2.8739999999999998E-3</v>
      </c>
      <c r="L120">
        <v>7.8799999999999996E-4</v>
      </c>
      <c r="M120">
        <v>32.5</v>
      </c>
      <c r="N120">
        <v>1.601E-3</v>
      </c>
      <c r="O120">
        <v>85.297207212272198</v>
      </c>
      <c r="P120">
        <v>4.8500000000000003E-4</v>
      </c>
      <c r="Q120">
        <v>20</v>
      </c>
      <c r="R120" s="4" t="s">
        <v>733</v>
      </c>
      <c r="S120" t="s">
        <v>598</v>
      </c>
    </row>
    <row r="121" spans="1:19" ht="15" customHeight="1" x14ac:dyDescent="0.25">
      <c r="A121" t="s">
        <v>164</v>
      </c>
      <c r="B121" t="s">
        <v>251</v>
      </c>
      <c r="C121" t="s">
        <v>134</v>
      </c>
      <c r="D121" t="s">
        <v>54</v>
      </c>
      <c r="E121" t="s">
        <v>48</v>
      </c>
      <c r="F121" t="str">
        <f t="shared" si="29"/>
        <v>/code/TS3-S3/mlongt5</v>
      </c>
      <c r="G121" t="s">
        <v>175</v>
      </c>
      <c r="H121">
        <v>78.125925052999904</v>
      </c>
      <c r="I121" t="s">
        <v>305</v>
      </c>
      <c r="J121">
        <v>94.494542469999899</v>
      </c>
      <c r="K121">
        <v>3.0590000000000001E-3</v>
      </c>
      <c r="L121">
        <v>8.3900000000000001E-4</v>
      </c>
      <c r="M121">
        <v>32.5</v>
      </c>
      <c r="N121">
        <v>1.7030000000000001E-3</v>
      </c>
      <c r="O121">
        <v>81.443682192455896</v>
      </c>
      <c r="P121">
        <v>5.1599999999999997E-4</v>
      </c>
      <c r="Q121">
        <v>20</v>
      </c>
      <c r="R121" s="4" t="s">
        <v>734</v>
      </c>
      <c r="S121" t="s">
        <v>599</v>
      </c>
    </row>
    <row r="122" spans="1:19" ht="15" customHeight="1" x14ac:dyDescent="0.25">
      <c r="A122" t="s">
        <v>164</v>
      </c>
      <c r="B122" t="s">
        <v>251</v>
      </c>
      <c r="C122" t="s">
        <v>134</v>
      </c>
      <c r="D122" t="s">
        <v>54</v>
      </c>
      <c r="E122" t="s">
        <v>23</v>
      </c>
      <c r="F122" t="str">
        <f t="shared" si="29"/>
        <v>/code/TS3-S3/mlongt5</v>
      </c>
      <c r="G122" t="s">
        <v>178</v>
      </c>
      <c r="H122">
        <v>110.61737911100001</v>
      </c>
      <c r="I122" t="s">
        <v>303</v>
      </c>
      <c r="J122">
        <v>110.909315049</v>
      </c>
      <c r="K122">
        <v>1.5950000000000001E-3</v>
      </c>
      <c r="L122">
        <v>9.8799999999999995E-4</v>
      </c>
      <c r="M122">
        <v>32.5</v>
      </c>
      <c r="N122" t="s">
        <v>25</v>
      </c>
      <c r="O122" t="s">
        <v>25</v>
      </c>
      <c r="P122">
        <v>6.0800000000000003E-4</v>
      </c>
      <c r="Q122">
        <v>20</v>
      </c>
      <c r="R122" s="4" t="s">
        <v>735</v>
      </c>
      <c r="S122" t="s">
        <v>600</v>
      </c>
    </row>
    <row r="123" spans="1:19" ht="15" customHeight="1" x14ac:dyDescent="0.25">
      <c r="A123" t="s">
        <v>164</v>
      </c>
      <c r="B123" t="s">
        <v>251</v>
      </c>
      <c r="C123" t="s">
        <v>134</v>
      </c>
      <c r="D123" t="s">
        <v>54</v>
      </c>
      <c r="E123" t="s">
        <v>23</v>
      </c>
      <c r="F123" t="str">
        <f t="shared" ref="F123" si="37">"/code/TS3-"&amp;D123&amp;"/mlongt5"</f>
        <v>/code/TS3-S3/mlongt5</v>
      </c>
      <c r="G123" t="s">
        <v>178</v>
      </c>
      <c r="H123">
        <v>110.61737911100001</v>
      </c>
      <c r="I123" t="s">
        <v>304</v>
      </c>
      <c r="J123">
        <v>110.14508648200101</v>
      </c>
      <c r="K123">
        <v>1.5839999999999999E-3</v>
      </c>
      <c r="L123">
        <v>9.810000000000001E-4</v>
      </c>
      <c r="M123">
        <v>32.5</v>
      </c>
      <c r="N123" t="s">
        <v>25</v>
      </c>
      <c r="O123" t="s">
        <v>25</v>
      </c>
      <c r="P123">
        <v>6.0400000000000004E-4</v>
      </c>
      <c r="Q123">
        <v>20</v>
      </c>
      <c r="R123" s="4" t="s">
        <v>736</v>
      </c>
      <c r="S123" t="s">
        <v>601</v>
      </c>
    </row>
    <row r="124" spans="1:19" ht="15" customHeight="1" x14ac:dyDescent="0.25">
      <c r="A124" t="s">
        <v>164</v>
      </c>
      <c r="B124" t="s">
        <v>251</v>
      </c>
      <c r="C124" t="s">
        <v>134</v>
      </c>
      <c r="D124" t="s">
        <v>54</v>
      </c>
      <c r="E124" t="s">
        <v>23</v>
      </c>
      <c r="F124" t="str">
        <f t="shared" si="29"/>
        <v>/code/TS3-S3/mlongt5</v>
      </c>
      <c r="G124" t="s">
        <v>178</v>
      </c>
      <c r="H124">
        <v>110.61737911100001</v>
      </c>
      <c r="I124" t="s">
        <v>305</v>
      </c>
      <c r="J124">
        <v>111.44111668199901</v>
      </c>
      <c r="K124">
        <v>1.603E-3</v>
      </c>
      <c r="L124">
        <v>9.9200000000000004E-4</v>
      </c>
      <c r="M124">
        <v>32.5</v>
      </c>
      <c r="N124" t="s">
        <v>25</v>
      </c>
      <c r="O124" t="s">
        <v>25</v>
      </c>
      <c r="P124">
        <v>6.11E-4</v>
      </c>
      <c r="Q124">
        <v>20</v>
      </c>
      <c r="R124" s="4" t="s">
        <v>737</v>
      </c>
      <c r="S124" t="s">
        <v>602</v>
      </c>
    </row>
    <row r="125" spans="1:19" ht="15" customHeight="1" x14ac:dyDescent="0.25">
      <c r="A125" t="s">
        <v>164</v>
      </c>
      <c r="B125" t="s">
        <v>251</v>
      </c>
      <c r="C125" t="s">
        <v>134</v>
      </c>
      <c r="D125" t="s">
        <v>54</v>
      </c>
      <c r="E125" t="s">
        <v>48</v>
      </c>
      <c r="F125" t="str">
        <f t="shared" si="29"/>
        <v>/code/TS3-S3/mlongt5</v>
      </c>
      <c r="G125" t="s">
        <v>178</v>
      </c>
      <c r="H125">
        <v>40.186660885000002</v>
      </c>
      <c r="I125" t="s">
        <v>303</v>
      </c>
      <c r="J125">
        <v>45.793518690999903</v>
      </c>
      <c r="K125">
        <v>1.253E-3</v>
      </c>
      <c r="L125">
        <v>4.0000000000000002E-4</v>
      </c>
      <c r="M125">
        <v>32.5</v>
      </c>
      <c r="N125">
        <v>6.0700000000000001E-4</v>
      </c>
      <c r="O125">
        <v>82.947455811329107</v>
      </c>
      <c r="P125">
        <v>2.4600000000000002E-4</v>
      </c>
      <c r="Q125">
        <v>20</v>
      </c>
      <c r="R125" s="4" t="s">
        <v>738</v>
      </c>
      <c r="S125" t="s">
        <v>603</v>
      </c>
    </row>
    <row r="126" spans="1:19" ht="15" customHeight="1" x14ac:dyDescent="0.25">
      <c r="A126" t="s">
        <v>164</v>
      </c>
      <c r="B126" t="s">
        <v>251</v>
      </c>
      <c r="C126" t="s">
        <v>134</v>
      </c>
      <c r="D126" t="s">
        <v>54</v>
      </c>
      <c r="E126" t="s">
        <v>48</v>
      </c>
      <c r="F126" t="str">
        <f t="shared" ref="F126" si="38">"/code/TS3-"&amp;D126&amp;"/mlongt5"</f>
        <v>/code/TS3-S3/mlongt5</v>
      </c>
      <c r="G126" t="s">
        <v>178</v>
      </c>
      <c r="H126">
        <v>40.186660885000002</v>
      </c>
      <c r="I126" t="s">
        <v>304</v>
      </c>
      <c r="J126">
        <v>43.217970968000301</v>
      </c>
      <c r="K126">
        <v>1.1689999999999999E-3</v>
      </c>
      <c r="L126">
        <v>3.7599999999999998E-4</v>
      </c>
      <c r="M126">
        <v>32.5</v>
      </c>
      <c r="N126">
        <v>5.6099999999999998E-4</v>
      </c>
      <c r="O126">
        <v>85.907353725545903</v>
      </c>
      <c r="P126">
        <v>2.31E-4</v>
      </c>
      <c r="Q126">
        <v>20</v>
      </c>
      <c r="R126" s="4" t="s">
        <v>739</v>
      </c>
      <c r="S126" t="s">
        <v>604</v>
      </c>
    </row>
    <row r="127" spans="1:19" ht="15" customHeight="1" x14ac:dyDescent="0.25">
      <c r="A127" t="s">
        <v>164</v>
      </c>
      <c r="B127" t="s">
        <v>251</v>
      </c>
      <c r="C127" t="s">
        <v>134</v>
      </c>
      <c r="D127" t="s">
        <v>54</v>
      </c>
      <c r="E127" t="s">
        <v>48</v>
      </c>
      <c r="F127" t="str">
        <f t="shared" si="29"/>
        <v>/code/TS3-S3/mlongt5</v>
      </c>
      <c r="G127" t="s">
        <v>178</v>
      </c>
      <c r="H127">
        <v>40.186660885000002</v>
      </c>
      <c r="I127" t="s">
        <v>305</v>
      </c>
      <c r="J127">
        <v>45.948339630000099</v>
      </c>
      <c r="K127">
        <v>1.2539999999999999E-3</v>
      </c>
      <c r="L127">
        <v>4.0099999999999999E-4</v>
      </c>
      <c r="M127">
        <v>32.5</v>
      </c>
      <c r="N127">
        <v>6.0599999999999998E-4</v>
      </c>
      <c r="O127">
        <v>80.916179773711605</v>
      </c>
      <c r="P127">
        <v>2.4699999999999999E-4</v>
      </c>
      <c r="Q127">
        <v>20</v>
      </c>
      <c r="R127" s="4" t="s">
        <v>740</v>
      </c>
      <c r="S127" t="s">
        <v>605</v>
      </c>
    </row>
    <row r="128" spans="1:19" ht="15" customHeight="1" x14ac:dyDescent="0.25">
      <c r="A128" t="s">
        <v>164</v>
      </c>
      <c r="B128" t="s">
        <v>251</v>
      </c>
      <c r="C128" t="s">
        <v>191</v>
      </c>
      <c r="D128" t="s">
        <v>54</v>
      </c>
      <c r="E128" t="s">
        <v>23</v>
      </c>
      <c r="F128" t="str">
        <f t="shared" ref="F128" si="39">"/code/TS3-"&amp;D128&amp;"/mistralnemo"</f>
        <v>/code/TS3-S3/mistralnemo</v>
      </c>
      <c r="G128" t="s">
        <v>166</v>
      </c>
      <c r="H128">
        <v>417.53588007099802</v>
      </c>
      <c r="I128" t="s">
        <v>303</v>
      </c>
      <c r="J128">
        <v>416.94049459799999</v>
      </c>
      <c r="K128">
        <v>6.0569999999999999E-3</v>
      </c>
      <c r="L128">
        <v>3.7499999999999999E-3</v>
      </c>
      <c r="M128">
        <v>32.5</v>
      </c>
      <c r="N128" t="s">
        <v>25</v>
      </c>
      <c r="O128" t="s">
        <v>25</v>
      </c>
      <c r="P128">
        <v>2.3080000000000002E-3</v>
      </c>
      <c r="Q128">
        <v>20</v>
      </c>
      <c r="R128" s="4" t="s">
        <v>741</v>
      </c>
      <c r="S128" t="s">
        <v>606</v>
      </c>
    </row>
    <row r="129" spans="1:19" ht="15" customHeight="1" x14ac:dyDescent="0.25">
      <c r="A129" t="s">
        <v>164</v>
      </c>
      <c r="B129" t="s">
        <v>251</v>
      </c>
      <c r="C129" t="s">
        <v>191</v>
      </c>
      <c r="D129" t="s">
        <v>54</v>
      </c>
      <c r="E129" t="s">
        <v>23</v>
      </c>
      <c r="F129" t="str">
        <f t="shared" ref="F129" si="40">"/code/TS3-"&amp;D129&amp;"/mistralnemo"</f>
        <v>/code/TS3-S3/mistralnemo</v>
      </c>
      <c r="G129" t="s">
        <v>166</v>
      </c>
      <c r="H129">
        <v>417.53588007099802</v>
      </c>
      <c r="I129" t="s">
        <v>304</v>
      </c>
      <c r="J129">
        <v>406.51059206999997</v>
      </c>
      <c r="K129">
        <v>5.9059999999999998E-3</v>
      </c>
      <c r="L129">
        <v>3.656E-3</v>
      </c>
      <c r="M129">
        <v>32.5</v>
      </c>
      <c r="N129" t="s">
        <v>25</v>
      </c>
      <c r="O129" t="s">
        <v>25</v>
      </c>
      <c r="P129">
        <v>2.2499999999999998E-3</v>
      </c>
      <c r="Q129">
        <v>20</v>
      </c>
      <c r="R129" s="4" t="s">
        <v>742</v>
      </c>
      <c r="S129" t="s">
        <v>607</v>
      </c>
    </row>
    <row r="130" spans="1:19" ht="15" customHeight="1" x14ac:dyDescent="0.25">
      <c r="A130" t="s">
        <v>164</v>
      </c>
      <c r="B130" t="s">
        <v>251</v>
      </c>
      <c r="C130" t="s">
        <v>191</v>
      </c>
      <c r="D130" t="s">
        <v>54</v>
      </c>
      <c r="E130" t="s">
        <v>23</v>
      </c>
      <c r="F130" t="str">
        <f t="shared" ref="F130:F157" si="41">"/code/TS3-"&amp;D130&amp;"/mistralnemo"</f>
        <v>/code/TS3-S3/mistralnemo</v>
      </c>
      <c r="G130" t="s">
        <v>166</v>
      </c>
      <c r="H130">
        <v>417.53588007099802</v>
      </c>
      <c r="I130" t="s">
        <v>305</v>
      </c>
      <c r="J130">
        <v>404.19273455099898</v>
      </c>
      <c r="K130">
        <v>5.8719999999999996E-3</v>
      </c>
      <c r="L130">
        <v>3.6350000000000002E-3</v>
      </c>
      <c r="M130">
        <v>32.5</v>
      </c>
      <c r="N130" t="s">
        <v>25</v>
      </c>
      <c r="O130" t="s">
        <v>25</v>
      </c>
      <c r="P130">
        <v>2.2369999999999998E-3</v>
      </c>
      <c r="Q130">
        <v>20</v>
      </c>
      <c r="R130" s="4" t="s">
        <v>743</v>
      </c>
      <c r="S130" t="s">
        <v>608</v>
      </c>
    </row>
    <row r="131" spans="1:19" ht="15" customHeight="1" x14ac:dyDescent="0.25">
      <c r="A131" t="s">
        <v>164</v>
      </c>
      <c r="B131" t="s">
        <v>251</v>
      </c>
      <c r="C131" t="s">
        <v>191</v>
      </c>
      <c r="D131" t="s">
        <v>54</v>
      </c>
      <c r="E131" t="s">
        <v>48</v>
      </c>
      <c r="F131" t="str">
        <f t="shared" si="41"/>
        <v>/code/TS3-S3/mistralnemo</v>
      </c>
      <c r="G131" t="s">
        <v>166</v>
      </c>
      <c r="H131">
        <v>9.5994246590016701</v>
      </c>
      <c r="I131" t="s">
        <v>303</v>
      </c>
      <c r="J131">
        <v>11.704651332999999</v>
      </c>
      <c r="K131">
        <v>5.2999999999999998E-4</v>
      </c>
      <c r="L131">
        <v>9.1000000000000003E-5</v>
      </c>
      <c r="M131">
        <v>32.5</v>
      </c>
      <c r="N131">
        <v>3.8299999999999999E-4</v>
      </c>
      <c r="O131">
        <v>137.05239026002499</v>
      </c>
      <c r="P131">
        <v>5.5999999999999999E-5</v>
      </c>
      <c r="Q131">
        <v>20</v>
      </c>
      <c r="R131" s="4" t="s">
        <v>744</v>
      </c>
      <c r="S131" t="s">
        <v>609</v>
      </c>
    </row>
    <row r="132" spans="1:19" ht="15" customHeight="1" x14ac:dyDescent="0.25">
      <c r="A132" t="s">
        <v>164</v>
      </c>
      <c r="B132" t="s">
        <v>251</v>
      </c>
      <c r="C132" t="s">
        <v>191</v>
      </c>
      <c r="D132" t="s">
        <v>54</v>
      </c>
      <c r="E132" t="s">
        <v>48</v>
      </c>
      <c r="F132" t="str">
        <f t="shared" ref="F132" si="42">"/code/TS3-"&amp;D132&amp;"/mistralnemo"</f>
        <v>/code/TS3-S3/mistralnemo</v>
      </c>
      <c r="G132" t="s">
        <v>166</v>
      </c>
      <c r="H132">
        <v>9.5994246590016701</v>
      </c>
      <c r="I132" t="s">
        <v>304</v>
      </c>
      <c r="J132">
        <v>8.5371737579999891</v>
      </c>
      <c r="K132">
        <v>4.7899999999999999E-4</v>
      </c>
      <c r="L132">
        <v>6.3E-5</v>
      </c>
      <c r="M132">
        <v>32.5</v>
      </c>
      <c r="N132">
        <v>3.77E-4</v>
      </c>
      <c r="O132">
        <v>194.792340442377</v>
      </c>
      <c r="P132">
        <v>3.8999999999999999E-5</v>
      </c>
      <c r="Q132">
        <v>20</v>
      </c>
      <c r="R132" s="4" t="s">
        <v>745</v>
      </c>
      <c r="S132" t="s">
        <v>610</v>
      </c>
    </row>
    <row r="133" spans="1:19" ht="15" customHeight="1" x14ac:dyDescent="0.25">
      <c r="A133" t="s">
        <v>164</v>
      </c>
      <c r="B133" t="s">
        <v>251</v>
      </c>
      <c r="C133" t="s">
        <v>191</v>
      </c>
      <c r="D133" t="s">
        <v>54</v>
      </c>
      <c r="E133" t="s">
        <v>48</v>
      </c>
      <c r="F133" t="str">
        <f t="shared" si="41"/>
        <v>/code/TS3-S3/mistralnemo</v>
      </c>
      <c r="G133" t="s">
        <v>166</v>
      </c>
      <c r="H133">
        <v>9.5994246590016701</v>
      </c>
      <c r="I133" t="s">
        <v>305</v>
      </c>
      <c r="J133">
        <v>10.1558160080001</v>
      </c>
      <c r="K133">
        <v>5.9599999999999996E-4</v>
      </c>
      <c r="L133">
        <v>7.7999999999999999E-5</v>
      </c>
      <c r="M133">
        <v>32.5</v>
      </c>
      <c r="N133">
        <v>4.7100000000000001E-4</v>
      </c>
      <c r="O133">
        <v>197.234561023693</v>
      </c>
      <c r="P133">
        <v>4.8000000000000001E-5</v>
      </c>
      <c r="Q133">
        <v>20</v>
      </c>
      <c r="R133" s="4" t="s">
        <v>746</v>
      </c>
      <c r="S133" t="s">
        <v>611</v>
      </c>
    </row>
    <row r="134" spans="1:19" ht="15" customHeight="1" x14ac:dyDescent="0.25">
      <c r="A134" t="s">
        <v>164</v>
      </c>
      <c r="B134" t="s">
        <v>251</v>
      </c>
      <c r="C134" t="s">
        <v>191</v>
      </c>
      <c r="D134" t="s">
        <v>54</v>
      </c>
      <c r="E134" t="s">
        <v>23</v>
      </c>
      <c r="F134" t="str">
        <f t="shared" si="41"/>
        <v>/code/TS3-S3/mistralnemo</v>
      </c>
      <c r="G134" t="s">
        <v>169</v>
      </c>
      <c r="H134">
        <v>203.13048774299901</v>
      </c>
      <c r="I134" t="s">
        <v>303</v>
      </c>
      <c r="J134">
        <v>204.42076413500001</v>
      </c>
      <c r="K134">
        <v>2.9610000000000001E-3</v>
      </c>
      <c r="L134">
        <v>1.833E-3</v>
      </c>
      <c r="M134">
        <v>32.5</v>
      </c>
      <c r="N134" t="s">
        <v>25</v>
      </c>
      <c r="O134" t="s">
        <v>25</v>
      </c>
      <c r="P134">
        <v>1.1280000000000001E-3</v>
      </c>
      <c r="Q134">
        <v>20</v>
      </c>
      <c r="R134" s="4" t="s">
        <v>747</v>
      </c>
      <c r="S134" t="s">
        <v>612</v>
      </c>
    </row>
    <row r="135" spans="1:19" ht="15" customHeight="1" x14ac:dyDescent="0.25">
      <c r="A135" t="s">
        <v>164</v>
      </c>
      <c r="B135" t="s">
        <v>251</v>
      </c>
      <c r="C135" t="s">
        <v>191</v>
      </c>
      <c r="D135" t="s">
        <v>54</v>
      </c>
      <c r="E135" t="s">
        <v>23</v>
      </c>
      <c r="F135" t="str">
        <f t="shared" ref="F135" si="43">"/code/TS3-"&amp;D135&amp;"/mistralnemo"</f>
        <v>/code/TS3-S3/mistralnemo</v>
      </c>
      <c r="G135" t="s">
        <v>169</v>
      </c>
      <c r="H135">
        <v>203.13048774299901</v>
      </c>
      <c r="I135" t="s">
        <v>304</v>
      </c>
      <c r="J135">
        <v>210.13915577199899</v>
      </c>
      <c r="K135">
        <v>3.045E-3</v>
      </c>
      <c r="L135">
        <v>1.885E-3</v>
      </c>
      <c r="M135">
        <v>32.5</v>
      </c>
      <c r="N135" t="s">
        <v>25</v>
      </c>
      <c r="O135" t="s">
        <v>25</v>
      </c>
      <c r="P135">
        <v>1.16E-3</v>
      </c>
      <c r="Q135">
        <v>20</v>
      </c>
      <c r="R135" s="4" t="s">
        <v>748</v>
      </c>
      <c r="S135" t="s">
        <v>613</v>
      </c>
    </row>
    <row r="136" spans="1:19" ht="15" customHeight="1" x14ac:dyDescent="0.25">
      <c r="A136" t="s">
        <v>164</v>
      </c>
      <c r="B136" t="s">
        <v>251</v>
      </c>
      <c r="C136" t="s">
        <v>191</v>
      </c>
      <c r="D136" t="s">
        <v>54</v>
      </c>
      <c r="E136" t="s">
        <v>23</v>
      </c>
      <c r="F136" t="str">
        <f t="shared" si="41"/>
        <v>/code/TS3-S3/mistralnemo</v>
      </c>
      <c r="G136" t="s">
        <v>169</v>
      </c>
      <c r="H136">
        <v>203.13048774299901</v>
      </c>
      <c r="I136" t="s">
        <v>305</v>
      </c>
      <c r="J136">
        <v>195.18281356899999</v>
      </c>
      <c r="K136">
        <v>2.8270000000000001E-3</v>
      </c>
      <c r="L136">
        <v>1.75E-3</v>
      </c>
      <c r="M136">
        <v>32.5</v>
      </c>
      <c r="N136" t="s">
        <v>25</v>
      </c>
      <c r="O136" t="s">
        <v>25</v>
      </c>
      <c r="P136">
        <v>1.077E-3</v>
      </c>
      <c r="Q136">
        <v>20</v>
      </c>
      <c r="R136" s="4" t="s">
        <v>749</v>
      </c>
      <c r="S136" t="s">
        <v>614</v>
      </c>
    </row>
    <row r="137" spans="1:19" ht="15" customHeight="1" x14ac:dyDescent="0.25">
      <c r="A137" t="s">
        <v>164</v>
      </c>
      <c r="B137" t="s">
        <v>251</v>
      </c>
      <c r="C137" t="s">
        <v>191</v>
      </c>
      <c r="D137" t="s">
        <v>54</v>
      </c>
      <c r="E137" t="s">
        <v>48</v>
      </c>
      <c r="F137" t="str">
        <f t="shared" si="41"/>
        <v>/code/TS3-S3/mistralnemo</v>
      </c>
      <c r="G137" t="s">
        <v>169</v>
      </c>
      <c r="H137">
        <v>7.9394044500004304</v>
      </c>
      <c r="I137" t="s">
        <v>303</v>
      </c>
      <c r="J137">
        <v>7.3812205159999804</v>
      </c>
      <c r="K137">
        <v>4.0299999999999998E-4</v>
      </c>
      <c r="L137">
        <v>5.1999999999999997E-5</v>
      </c>
      <c r="M137">
        <v>32.5</v>
      </c>
      <c r="N137">
        <v>3.19E-4</v>
      </c>
      <c r="O137">
        <v>198.49492773465499</v>
      </c>
      <c r="P137">
        <v>3.1999999999999999E-5</v>
      </c>
      <c r="Q137">
        <v>20</v>
      </c>
      <c r="R137" s="4" t="s">
        <v>750</v>
      </c>
      <c r="S137" t="s">
        <v>615</v>
      </c>
    </row>
    <row r="138" spans="1:19" ht="15" customHeight="1" x14ac:dyDescent="0.25">
      <c r="A138" t="s">
        <v>164</v>
      </c>
      <c r="B138" t="s">
        <v>251</v>
      </c>
      <c r="C138" t="s">
        <v>191</v>
      </c>
      <c r="D138" t="s">
        <v>54</v>
      </c>
      <c r="E138" t="s">
        <v>48</v>
      </c>
      <c r="F138" t="str">
        <f t="shared" ref="F138" si="44">"/code/TS3-"&amp;D138&amp;"/mistralnemo"</f>
        <v>/code/TS3-S3/mistralnemo</v>
      </c>
      <c r="G138" t="s">
        <v>169</v>
      </c>
      <c r="H138">
        <v>7.9394044500004304</v>
      </c>
      <c r="I138" t="s">
        <v>304</v>
      </c>
      <c r="J138">
        <v>8.1793526159999601</v>
      </c>
      <c r="K138">
        <v>4.55E-4</v>
      </c>
      <c r="L138">
        <v>5.8999999999999998E-5</v>
      </c>
      <c r="M138">
        <v>32.5</v>
      </c>
      <c r="N138">
        <v>3.59E-4</v>
      </c>
      <c r="O138">
        <v>196.35912982703701</v>
      </c>
      <c r="P138">
        <v>3.6999999999999998E-5</v>
      </c>
      <c r="Q138">
        <v>20</v>
      </c>
      <c r="R138" s="4" t="s">
        <v>751</v>
      </c>
      <c r="S138" t="s">
        <v>616</v>
      </c>
    </row>
    <row r="139" spans="1:19" ht="15" customHeight="1" x14ac:dyDescent="0.25">
      <c r="A139" t="s">
        <v>164</v>
      </c>
      <c r="B139" t="s">
        <v>251</v>
      </c>
      <c r="C139" t="s">
        <v>191</v>
      </c>
      <c r="D139" t="s">
        <v>54</v>
      </c>
      <c r="E139" t="s">
        <v>48</v>
      </c>
      <c r="F139" t="str">
        <f t="shared" si="41"/>
        <v>/code/TS3-S3/mistralnemo</v>
      </c>
      <c r="G139" t="s">
        <v>169</v>
      </c>
      <c r="H139">
        <v>7.9394044500004304</v>
      </c>
      <c r="I139" t="s">
        <v>305</v>
      </c>
      <c r="J139">
        <v>6.6366833909998997</v>
      </c>
      <c r="K139">
        <v>3.4600000000000001E-4</v>
      </c>
      <c r="L139">
        <v>4.6E-5</v>
      </c>
      <c r="M139">
        <v>32.5</v>
      </c>
      <c r="N139">
        <v>2.72E-4</v>
      </c>
      <c r="O139">
        <v>193.39172037863301</v>
      </c>
      <c r="P139">
        <v>2.8E-5</v>
      </c>
      <c r="Q139">
        <v>20</v>
      </c>
      <c r="R139" s="4" t="s">
        <v>752</v>
      </c>
      <c r="S139" t="s">
        <v>617</v>
      </c>
    </row>
    <row r="140" spans="1:19" ht="15" customHeight="1" x14ac:dyDescent="0.25">
      <c r="A140" t="s">
        <v>164</v>
      </c>
      <c r="B140" t="s">
        <v>251</v>
      </c>
      <c r="C140" t="s">
        <v>191</v>
      </c>
      <c r="D140" t="s">
        <v>54</v>
      </c>
      <c r="E140" t="s">
        <v>23</v>
      </c>
      <c r="F140" t="str">
        <f t="shared" si="41"/>
        <v>/code/TS3-S3/mistralnemo</v>
      </c>
      <c r="G140" t="s">
        <v>172</v>
      </c>
      <c r="H140">
        <v>853.12648367499901</v>
      </c>
      <c r="I140" t="s">
        <v>303</v>
      </c>
      <c r="J140">
        <v>939.80585133399904</v>
      </c>
      <c r="K140">
        <v>1.3686E-2</v>
      </c>
      <c r="L140">
        <v>8.4720000000000004E-3</v>
      </c>
      <c r="M140">
        <v>32.5</v>
      </c>
      <c r="N140" t="s">
        <v>25</v>
      </c>
      <c r="O140" t="s">
        <v>25</v>
      </c>
      <c r="P140">
        <v>5.2139999999999999E-3</v>
      </c>
      <c r="Q140">
        <v>20</v>
      </c>
      <c r="R140" s="4" t="s">
        <v>753</v>
      </c>
      <c r="S140" t="s">
        <v>618</v>
      </c>
    </row>
    <row r="141" spans="1:19" ht="15" customHeight="1" x14ac:dyDescent="0.25">
      <c r="A141" t="s">
        <v>164</v>
      </c>
      <c r="B141" t="s">
        <v>251</v>
      </c>
      <c r="C141" t="s">
        <v>191</v>
      </c>
      <c r="D141" t="s">
        <v>54</v>
      </c>
      <c r="E141" t="s">
        <v>23</v>
      </c>
      <c r="F141" t="str">
        <f t="shared" ref="F141" si="45">"/code/TS3-"&amp;D141&amp;"/mistralnemo"</f>
        <v>/code/TS3-S3/mistralnemo</v>
      </c>
      <c r="G141" t="s">
        <v>172</v>
      </c>
      <c r="H141">
        <v>853.12648367499901</v>
      </c>
      <c r="I141" t="s">
        <v>304</v>
      </c>
      <c r="J141">
        <v>1008.8239141190001</v>
      </c>
      <c r="K141">
        <v>1.4692E-2</v>
      </c>
      <c r="L141">
        <v>9.0950000000000007E-3</v>
      </c>
      <c r="M141">
        <v>32.5</v>
      </c>
      <c r="N141" t="s">
        <v>25</v>
      </c>
      <c r="O141" t="s">
        <v>25</v>
      </c>
      <c r="P141">
        <v>5.5970000000000004E-3</v>
      </c>
      <c r="Q141">
        <v>20</v>
      </c>
      <c r="R141" s="4" t="s">
        <v>754</v>
      </c>
      <c r="S141" t="s">
        <v>619</v>
      </c>
    </row>
    <row r="142" spans="1:19" ht="15" customHeight="1" x14ac:dyDescent="0.25">
      <c r="A142" t="s">
        <v>164</v>
      </c>
      <c r="B142" t="s">
        <v>251</v>
      </c>
      <c r="C142" t="s">
        <v>191</v>
      </c>
      <c r="D142" t="s">
        <v>54</v>
      </c>
      <c r="E142" t="s">
        <v>23</v>
      </c>
      <c r="F142" t="str">
        <f t="shared" si="41"/>
        <v>/code/TS3-S3/mistralnemo</v>
      </c>
      <c r="G142" t="s">
        <v>172</v>
      </c>
      <c r="H142">
        <v>853.12648367499901</v>
      </c>
      <c r="I142" t="s">
        <v>305</v>
      </c>
      <c r="J142">
        <v>915.38998223399994</v>
      </c>
      <c r="K142">
        <v>1.3329000000000001E-2</v>
      </c>
      <c r="L142">
        <v>8.2520000000000007E-3</v>
      </c>
      <c r="M142">
        <v>32.5</v>
      </c>
      <c r="N142" t="s">
        <v>25</v>
      </c>
      <c r="O142" t="s">
        <v>25</v>
      </c>
      <c r="P142">
        <v>5.078E-3</v>
      </c>
      <c r="Q142">
        <v>20</v>
      </c>
      <c r="R142" s="4" t="s">
        <v>755</v>
      </c>
      <c r="S142" t="s">
        <v>620</v>
      </c>
    </row>
    <row r="143" spans="1:19" ht="15" customHeight="1" x14ac:dyDescent="0.25">
      <c r="A143" t="s">
        <v>164</v>
      </c>
      <c r="B143" t="s">
        <v>251</v>
      </c>
      <c r="C143" t="s">
        <v>191</v>
      </c>
      <c r="D143" t="s">
        <v>54</v>
      </c>
      <c r="E143" t="s">
        <v>48</v>
      </c>
      <c r="F143" t="str">
        <f t="shared" si="41"/>
        <v>/code/TS3-S3/mistralnemo</v>
      </c>
      <c r="G143" t="s">
        <v>172</v>
      </c>
      <c r="H143">
        <v>16.483709479000002</v>
      </c>
      <c r="I143" t="s">
        <v>303</v>
      </c>
      <c r="J143">
        <v>14.1798485949998</v>
      </c>
      <c r="K143">
        <v>9.7199999999999999E-4</v>
      </c>
      <c r="L143">
        <v>1.1400000000000001E-4</v>
      </c>
      <c r="M143">
        <v>32.5</v>
      </c>
      <c r="N143">
        <v>7.8799999999999996E-4</v>
      </c>
      <c r="O143">
        <v>225.24537748881599</v>
      </c>
      <c r="P143">
        <v>6.9999999999999994E-5</v>
      </c>
      <c r="Q143">
        <v>20</v>
      </c>
      <c r="R143" s="4" t="s">
        <v>756</v>
      </c>
      <c r="S143" t="s">
        <v>621</v>
      </c>
    </row>
    <row r="144" spans="1:19" ht="15" customHeight="1" x14ac:dyDescent="0.25">
      <c r="A144" t="s">
        <v>164</v>
      </c>
      <c r="B144" t="s">
        <v>251</v>
      </c>
      <c r="C144" t="s">
        <v>191</v>
      </c>
      <c r="D144" t="s">
        <v>54</v>
      </c>
      <c r="E144" t="s">
        <v>48</v>
      </c>
      <c r="F144" t="str">
        <f t="shared" ref="F144" si="46">"/code/TS3-"&amp;D144&amp;"/mistralnemo"</f>
        <v>/code/TS3-S3/mistralnemo</v>
      </c>
      <c r="G144" t="s">
        <v>172</v>
      </c>
      <c r="H144">
        <v>16.483709479000002</v>
      </c>
      <c r="I144" t="s">
        <v>304</v>
      </c>
      <c r="J144">
        <v>15.182224593000001</v>
      </c>
      <c r="K144">
        <v>1.0460000000000001E-3</v>
      </c>
      <c r="L144">
        <v>1.22E-4</v>
      </c>
      <c r="M144">
        <v>32.5</v>
      </c>
      <c r="N144">
        <v>8.4800000000000001E-4</v>
      </c>
      <c r="O144">
        <v>225.11636683249299</v>
      </c>
      <c r="P144">
        <v>7.4999999999999993E-5</v>
      </c>
      <c r="Q144">
        <v>20</v>
      </c>
      <c r="R144" s="4" t="s">
        <v>757</v>
      </c>
      <c r="S144" t="s">
        <v>622</v>
      </c>
    </row>
    <row r="145" spans="1:19" ht="15" customHeight="1" x14ac:dyDescent="0.25">
      <c r="A145" t="s">
        <v>164</v>
      </c>
      <c r="B145" t="s">
        <v>251</v>
      </c>
      <c r="C145" t="s">
        <v>191</v>
      </c>
      <c r="D145" t="s">
        <v>54</v>
      </c>
      <c r="E145" t="s">
        <v>48</v>
      </c>
      <c r="F145" t="str">
        <f t="shared" si="41"/>
        <v>/code/TS3-S3/mistralnemo</v>
      </c>
      <c r="G145" t="s">
        <v>172</v>
      </c>
      <c r="H145">
        <v>16.483709479000002</v>
      </c>
      <c r="I145" t="s">
        <v>305</v>
      </c>
      <c r="J145">
        <v>13.056161335000001</v>
      </c>
      <c r="K145">
        <v>8.8199999999999997E-4</v>
      </c>
      <c r="L145">
        <v>1.0399999999999999E-4</v>
      </c>
      <c r="M145">
        <v>32.5</v>
      </c>
      <c r="N145">
        <v>7.1500000000000003E-4</v>
      </c>
      <c r="O145">
        <v>224.44989340278499</v>
      </c>
      <c r="P145">
        <v>6.3999999999999997E-5</v>
      </c>
      <c r="Q145">
        <v>20</v>
      </c>
      <c r="R145" s="4" t="s">
        <v>758</v>
      </c>
      <c r="S145" t="s">
        <v>623</v>
      </c>
    </row>
    <row r="146" spans="1:19" ht="15" customHeight="1" x14ac:dyDescent="0.25">
      <c r="A146" t="s">
        <v>164</v>
      </c>
      <c r="B146" t="s">
        <v>251</v>
      </c>
      <c r="C146" t="s">
        <v>191</v>
      </c>
      <c r="D146" t="s">
        <v>54</v>
      </c>
      <c r="E146" t="s">
        <v>23</v>
      </c>
      <c r="F146" t="str">
        <f t="shared" si="41"/>
        <v>/code/TS3-S3/mistralnemo</v>
      </c>
      <c r="G146" t="s">
        <v>175</v>
      </c>
      <c r="H146">
        <v>994.40590268100198</v>
      </c>
      <c r="I146" t="s">
        <v>303</v>
      </c>
      <c r="J146">
        <v>910.45960891200002</v>
      </c>
      <c r="K146">
        <v>1.3252999999999999E-2</v>
      </c>
      <c r="L146">
        <v>8.2039999999999995E-3</v>
      </c>
      <c r="M146">
        <v>32.5</v>
      </c>
      <c r="N146" t="s">
        <v>25</v>
      </c>
      <c r="O146" t="s">
        <v>25</v>
      </c>
      <c r="P146">
        <v>5.0489999999999997E-3</v>
      </c>
      <c r="Q146">
        <v>20</v>
      </c>
      <c r="R146" s="4" t="s">
        <v>759</v>
      </c>
      <c r="S146" t="s">
        <v>624</v>
      </c>
    </row>
    <row r="147" spans="1:19" ht="15" customHeight="1" x14ac:dyDescent="0.25">
      <c r="A147" t="s">
        <v>164</v>
      </c>
      <c r="B147" t="s">
        <v>251</v>
      </c>
      <c r="C147" t="s">
        <v>191</v>
      </c>
      <c r="D147" t="s">
        <v>54</v>
      </c>
      <c r="E147" t="s">
        <v>23</v>
      </c>
      <c r="F147" t="str">
        <f t="shared" ref="F147" si="47">"/code/TS3-"&amp;D147&amp;"/mistralnemo"</f>
        <v>/code/TS3-S3/mistralnemo</v>
      </c>
      <c r="G147" t="s">
        <v>175</v>
      </c>
      <c r="H147">
        <v>994.40590268100198</v>
      </c>
      <c r="I147" t="s">
        <v>304</v>
      </c>
      <c r="J147">
        <v>900.10993840999902</v>
      </c>
      <c r="K147">
        <v>1.3101E-2</v>
      </c>
      <c r="L147">
        <v>8.1099999999999992E-3</v>
      </c>
      <c r="M147">
        <v>32.5</v>
      </c>
      <c r="N147" t="s">
        <v>25</v>
      </c>
      <c r="O147" t="s">
        <v>25</v>
      </c>
      <c r="P147">
        <v>4.9909999999999998E-3</v>
      </c>
      <c r="Q147">
        <v>20</v>
      </c>
      <c r="R147" s="4" t="s">
        <v>760</v>
      </c>
      <c r="S147" t="s">
        <v>625</v>
      </c>
    </row>
    <row r="148" spans="1:19" ht="15" customHeight="1" x14ac:dyDescent="0.25">
      <c r="A148" t="s">
        <v>164</v>
      </c>
      <c r="B148" t="s">
        <v>251</v>
      </c>
      <c r="C148" t="s">
        <v>191</v>
      </c>
      <c r="D148" t="s">
        <v>54</v>
      </c>
      <c r="E148" t="s">
        <v>23</v>
      </c>
      <c r="F148" t="str">
        <f t="shared" si="41"/>
        <v>/code/TS3-S3/mistralnemo</v>
      </c>
      <c r="G148" t="s">
        <v>175</v>
      </c>
      <c r="H148">
        <v>994.40590268100198</v>
      </c>
      <c r="I148" t="s">
        <v>305</v>
      </c>
      <c r="J148">
        <v>898.15517132399998</v>
      </c>
      <c r="K148">
        <v>1.3075E-2</v>
      </c>
      <c r="L148">
        <v>8.0940000000000005E-3</v>
      </c>
      <c r="M148">
        <v>32.5</v>
      </c>
      <c r="N148" t="s">
        <v>25</v>
      </c>
      <c r="O148" t="s">
        <v>25</v>
      </c>
      <c r="P148">
        <v>4.9810000000000002E-3</v>
      </c>
      <c r="Q148">
        <v>20</v>
      </c>
      <c r="R148" s="4" t="s">
        <v>761</v>
      </c>
      <c r="S148" t="s">
        <v>626</v>
      </c>
    </row>
    <row r="149" spans="1:19" ht="15" customHeight="1" x14ac:dyDescent="0.25">
      <c r="A149" t="s">
        <v>164</v>
      </c>
      <c r="B149" t="s">
        <v>251</v>
      </c>
      <c r="C149" t="s">
        <v>191</v>
      </c>
      <c r="D149" t="s">
        <v>54</v>
      </c>
      <c r="E149" t="s">
        <v>48</v>
      </c>
      <c r="F149" t="str">
        <f t="shared" si="41"/>
        <v>/code/TS3-S3/mistralnemo</v>
      </c>
      <c r="G149" t="s">
        <v>175</v>
      </c>
      <c r="H149">
        <v>45.646572687000997</v>
      </c>
      <c r="I149" t="s">
        <v>303</v>
      </c>
      <c r="J149">
        <v>40.318548284999999</v>
      </c>
      <c r="K149">
        <v>2.8379999999999998E-3</v>
      </c>
      <c r="L149">
        <v>3.5E-4</v>
      </c>
      <c r="M149">
        <v>32.5</v>
      </c>
      <c r="N149">
        <v>2.2729999999999998E-3</v>
      </c>
      <c r="O149">
        <v>217.26079701088801</v>
      </c>
      <c r="P149">
        <v>2.1499999999999999E-4</v>
      </c>
      <c r="Q149">
        <v>20</v>
      </c>
      <c r="R149" s="4" t="s">
        <v>762</v>
      </c>
      <c r="S149" t="s">
        <v>627</v>
      </c>
    </row>
    <row r="150" spans="1:19" ht="15" customHeight="1" x14ac:dyDescent="0.25">
      <c r="A150" t="s">
        <v>164</v>
      </c>
      <c r="B150" t="s">
        <v>251</v>
      </c>
      <c r="C150" t="s">
        <v>191</v>
      </c>
      <c r="D150" t="s">
        <v>54</v>
      </c>
      <c r="E150" t="s">
        <v>48</v>
      </c>
      <c r="F150" t="str">
        <f t="shared" ref="F150" si="48">"/code/TS3-"&amp;D150&amp;"/mistralnemo"</f>
        <v>/code/TS3-S3/mistralnemo</v>
      </c>
      <c r="G150" t="s">
        <v>175</v>
      </c>
      <c r="H150">
        <v>45.646572687000997</v>
      </c>
      <c r="I150" t="s">
        <v>304</v>
      </c>
      <c r="J150">
        <v>36.414429212999899</v>
      </c>
      <c r="K150">
        <v>2.6250000000000002E-3</v>
      </c>
      <c r="L150">
        <v>3.1500000000000001E-4</v>
      </c>
      <c r="M150">
        <v>32.5</v>
      </c>
      <c r="N150">
        <v>2.117E-3</v>
      </c>
      <c r="O150">
        <v>233.78785701262601</v>
      </c>
      <c r="P150">
        <v>1.94E-4</v>
      </c>
      <c r="Q150">
        <v>20</v>
      </c>
      <c r="R150" s="4" t="s">
        <v>763</v>
      </c>
      <c r="S150" t="s">
        <v>628</v>
      </c>
    </row>
    <row r="151" spans="1:19" ht="15" customHeight="1" x14ac:dyDescent="0.25">
      <c r="A151" t="s">
        <v>164</v>
      </c>
      <c r="B151" t="s">
        <v>251</v>
      </c>
      <c r="C151" t="s">
        <v>191</v>
      </c>
      <c r="D151" t="s">
        <v>54</v>
      </c>
      <c r="E151" t="s">
        <v>48</v>
      </c>
      <c r="F151" t="str">
        <f t="shared" si="41"/>
        <v>/code/TS3-S3/mistralnemo</v>
      </c>
      <c r="G151" t="s">
        <v>175</v>
      </c>
      <c r="H151">
        <v>45.646572687000997</v>
      </c>
      <c r="I151" t="s">
        <v>305</v>
      </c>
      <c r="J151">
        <v>40.676843769999998</v>
      </c>
      <c r="K151">
        <v>2.918E-3</v>
      </c>
      <c r="L151">
        <v>3.5300000000000002E-4</v>
      </c>
      <c r="M151">
        <v>32.5</v>
      </c>
      <c r="N151">
        <v>2.3479999999999998E-3</v>
      </c>
      <c r="O151">
        <v>222.237812556893</v>
      </c>
      <c r="P151">
        <v>2.1699999999999999E-4</v>
      </c>
      <c r="Q151">
        <v>20</v>
      </c>
      <c r="R151" s="4" t="s">
        <v>764</v>
      </c>
      <c r="S151" t="s">
        <v>629</v>
      </c>
    </row>
    <row r="152" spans="1:19" ht="15" customHeight="1" x14ac:dyDescent="0.25">
      <c r="A152" t="s">
        <v>164</v>
      </c>
      <c r="B152" t="s">
        <v>251</v>
      </c>
      <c r="C152" t="s">
        <v>191</v>
      </c>
      <c r="D152" t="s">
        <v>54</v>
      </c>
      <c r="E152" t="s">
        <v>23</v>
      </c>
      <c r="F152" t="str">
        <f t="shared" si="41"/>
        <v>/code/TS3-S3/mistralnemo</v>
      </c>
      <c r="G152" t="s">
        <v>178</v>
      </c>
      <c r="H152">
        <v>688.69561948099999</v>
      </c>
      <c r="I152" t="s">
        <v>303</v>
      </c>
      <c r="J152">
        <v>652.47144503799996</v>
      </c>
      <c r="K152">
        <v>9.4959999999999992E-3</v>
      </c>
      <c r="L152">
        <v>5.8780000000000004E-3</v>
      </c>
      <c r="M152">
        <v>32.5</v>
      </c>
      <c r="N152" t="s">
        <v>25</v>
      </c>
      <c r="O152" t="s">
        <v>25</v>
      </c>
      <c r="P152">
        <v>3.617E-3</v>
      </c>
      <c r="Q152">
        <v>20</v>
      </c>
      <c r="R152" s="4" t="s">
        <v>765</v>
      </c>
      <c r="S152" t="s">
        <v>630</v>
      </c>
    </row>
    <row r="153" spans="1:19" ht="15" customHeight="1" x14ac:dyDescent="0.25">
      <c r="A153" t="s">
        <v>164</v>
      </c>
      <c r="B153" t="s">
        <v>251</v>
      </c>
      <c r="C153" t="s">
        <v>191</v>
      </c>
      <c r="D153" t="s">
        <v>54</v>
      </c>
      <c r="E153" t="s">
        <v>23</v>
      </c>
      <c r="F153" t="str">
        <f t="shared" ref="F153" si="49">"/code/TS3-"&amp;D153&amp;"/mistralnemo"</f>
        <v>/code/TS3-S3/mistralnemo</v>
      </c>
      <c r="G153" t="s">
        <v>178</v>
      </c>
      <c r="H153">
        <v>688.69561948099999</v>
      </c>
      <c r="I153" t="s">
        <v>304</v>
      </c>
      <c r="J153">
        <v>653.08339345800005</v>
      </c>
      <c r="K153">
        <v>9.5040000000000003E-3</v>
      </c>
      <c r="L153">
        <v>5.8840000000000003E-3</v>
      </c>
      <c r="M153">
        <v>32.5</v>
      </c>
      <c r="N153" t="s">
        <v>25</v>
      </c>
      <c r="O153" t="s">
        <v>25</v>
      </c>
      <c r="P153">
        <v>3.6210000000000001E-3</v>
      </c>
      <c r="Q153">
        <v>20</v>
      </c>
      <c r="R153" s="4" t="s">
        <v>766</v>
      </c>
      <c r="S153" t="s">
        <v>631</v>
      </c>
    </row>
    <row r="154" spans="1:19" ht="15" customHeight="1" x14ac:dyDescent="0.25">
      <c r="A154" t="s">
        <v>164</v>
      </c>
      <c r="B154" t="s">
        <v>251</v>
      </c>
      <c r="C154" t="s">
        <v>191</v>
      </c>
      <c r="D154" t="s">
        <v>54</v>
      </c>
      <c r="E154" t="s">
        <v>23</v>
      </c>
      <c r="F154" t="str">
        <f t="shared" si="41"/>
        <v>/code/TS3-S3/mistralnemo</v>
      </c>
      <c r="G154" t="s">
        <v>178</v>
      </c>
      <c r="H154">
        <v>688.69561948099999</v>
      </c>
      <c r="I154" t="s">
        <v>305</v>
      </c>
      <c r="J154">
        <v>660.29192442799899</v>
      </c>
      <c r="K154">
        <v>9.6089999999999995E-3</v>
      </c>
      <c r="L154">
        <v>5.9490000000000003E-3</v>
      </c>
      <c r="M154">
        <v>32.5</v>
      </c>
      <c r="N154" t="s">
        <v>25</v>
      </c>
      <c r="O154" t="s">
        <v>25</v>
      </c>
      <c r="P154">
        <v>3.6610000000000002E-3</v>
      </c>
      <c r="Q154">
        <v>20</v>
      </c>
      <c r="R154" s="4" t="s">
        <v>767</v>
      </c>
      <c r="S154" t="s">
        <v>632</v>
      </c>
    </row>
    <row r="155" spans="1:19" ht="15" customHeight="1" x14ac:dyDescent="0.25">
      <c r="A155" t="s">
        <v>164</v>
      </c>
      <c r="B155" t="s">
        <v>251</v>
      </c>
      <c r="C155" t="s">
        <v>191</v>
      </c>
      <c r="D155" t="s">
        <v>54</v>
      </c>
      <c r="E155" t="s">
        <v>48</v>
      </c>
      <c r="F155" t="str">
        <f t="shared" si="41"/>
        <v>/code/TS3-S3/mistralnemo</v>
      </c>
      <c r="G155" t="s">
        <v>178</v>
      </c>
      <c r="H155">
        <v>16.974249656999699</v>
      </c>
      <c r="I155" t="s">
        <v>303</v>
      </c>
      <c r="J155">
        <v>18.832130977999999</v>
      </c>
      <c r="K155">
        <v>1.2589999999999999E-3</v>
      </c>
      <c r="L155">
        <v>1.56E-4</v>
      </c>
      <c r="M155">
        <v>32.5</v>
      </c>
      <c r="N155">
        <v>1.0070000000000001E-3</v>
      </c>
      <c r="O155">
        <v>230.36148752394001</v>
      </c>
      <c r="P155">
        <v>9.6000000000000002E-5</v>
      </c>
      <c r="Q155">
        <v>20</v>
      </c>
      <c r="R155" s="4" t="s">
        <v>768</v>
      </c>
      <c r="S155" t="s">
        <v>633</v>
      </c>
    </row>
    <row r="156" spans="1:19" ht="15" customHeight="1" x14ac:dyDescent="0.25">
      <c r="A156" t="s">
        <v>164</v>
      </c>
      <c r="B156" t="s">
        <v>251</v>
      </c>
      <c r="C156" t="s">
        <v>191</v>
      </c>
      <c r="D156" t="s">
        <v>54</v>
      </c>
      <c r="E156" t="s">
        <v>48</v>
      </c>
      <c r="F156" t="str">
        <f t="shared" ref="F156" si="50">"/code/TS3-"&amp;D156&amp;"/mistralnemo"</f>
        <v>/code/TS3-S3/mistralnemo</v>
      </c>
      <c r="G156" t="s">
        <v>178</v>
      </c>
      <c r="H156">
        <v>16.974249656999699</v>
      </c>
      <c r="I156" t="s">
        <v>304</v>
      </c>
      <c r="J156">
        <v>19.167735105999999</v>
      </c>
      <c r="K156">
        <v>1.322E-3</v>
      </c>
      <c r="L156">
        <v>1.5899999999999999E-4</v>
      </c>
      <c r="M156">
        <v>32.5</v>
      </c>
      <c r="N156">
        <v>1.065E-3</v>
      </c>
      <c r="O156">
        <v>261.19770478569399</v>
      </c>
      <c r="P156">
        <v>9.7999999999999997E-5</v>
      </c>
      <c r="Q156">
        <v>20</v>
      </c>
      <c r="R156" s="4" t="s">
        <v>769</v>
      </c>
      <c r="S156" t="s">
        <v>634</v>
      </c>
    </row>
    <row r="157" spans="1:19" ht="15" customHeight="1" x14ac:dyDescent="0.25">
      <c r="A157" t="s">
        <v>164</v>
      </c>
      <c r="B157" t="s">
        <v>251</v>
      </c>
      <c r="C157" t="s">
        <v>191</v>
      </c>
      <c r="D157" t="s">
        <v>54</v>
      </c>
      <c r="E157" t="s">
        <v>48</v>
      </c>
      <c r="F157" t="str">
        <f t="shared" si="41"/>
        <v>/code/TS3-S3/mistralnemo</v>
      </c>
      <c r="G157" t="s">
        <v>178</v>
      </c>
      <c r="H157">
        <v>16.974249656999699</v>
      </c>
      <c r="I157" t="s">
        <v>305</v>
      </c>
      <c r="J157">
        <v>17.384878858999802</v>
      </c>
      <c r="K157">
        <v>1.1609999999999999E-3</v>
      </c>
      <c r="L157">
        <v>1.4300000000000001E-4</v>
      </c>
      <c r="M157">
        <v>32.5</v>
      </c>
      <c r="N157">
        <v>9.3099999999999997E-4</v>
      </c>
      <c r="O157">
        <v>263.72929719040502</v>
      </c>
      <c r="P157">
        <v>8.7999999999999998E-5</v>
      </c>
      <c r="Q157">
        <v>20</v>
      </c>
      <c r="R157" s="4" t="s">
        <v>770</v>
      </c>
      <c r="S157" t="s">
        <v>635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Full</vt:lpstr>
      <vt:lpstr>S1_Small-Scale</vt:lpstr>
      <vt:lpstr>S2_Small-Scale</vt:lpstr>
      <vt:lpstr>S3_Small-Scale</vt:lpstr>
    </vt:vector>
  </TitlesOfParts>
  <Company>Uni-Bamberg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Jegan, Robin</dc:creator>
  <cp:lastModifiedBy>Jegan, Robin</cp:lastModifiedBy>
  <dcterms:created xsi:type="dcterms:W3CDTF">2025-12-03T13:54:23Z</dcterms:created>
  <dcterms:modified xsi:type="dcterms:W3CDTF">2026-01-16T12:36:35Z</dcterms:modified>
</cp:coreProperties>
</file>